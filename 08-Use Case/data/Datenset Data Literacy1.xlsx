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reme Pro/03_CMM Solutions/Training/02_Kunden/Integrata/Evonik/40_Data Storytelling/"/>
    </mc:Choice>
  </mc:AlternateContent>
  <xr:revisionPtr revIDLastSave="0" documentId="8_{791A283C-388D-B143-9D14-9C6B6DEF3DB1}" xr6:coauthVersionLast="47" xr6:coauthVersionMax="47" xr10:uidLastSave="{00000000-0000-0000-0000-000000000000}"/>
  <bookViews>
    <workbookView xWindow="-35200" yWindow="2720" windowWidth="29040" windowHeight="15840" firstSheet="1" activeTab="1" xr2:uid="{9FADFD64-BBD8-44E3-B79F-2B195B863E30}"/>
  </bookViews>
  <sheets>
    <sheet name="_com.sap.ip.bi.xl.hiddensheet" sheetId="2" state="veryHidden" r:id="rId1"/>
    <sheet name="Ergebnisrechnung" sheetId="5" r:id="rId2"/>
    <sheet name="Tabelle2" sheetId="6" state="hidden" r:id="rId3"/>
    <sheet name="Absatzmenge" sheetId="8" r:id="rId4"/>
  </sheets>
  <definedNames>
    <definedName name="_xlnm._FilterDatabase" localSheetId="1" hidden="1">Ergebnisrechnung!$A$1:$Q$61</definedName>
    <definedName name="_xlnm._FilterDatabase" localSheetId="2" hidden="1">Tabelle2!$A$1:$F$289</definedName>
    <definedName name="SAPCrosstab1">#REF!</definedName>
    <definedName name="SAPCrosstab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6" l="1"/>
  <c r="J90" i="6"/>
  <c r="J122" i="6"/>
  <c r="J154" i="6"/>
  <c r="J186" i="6"/>
  <c r="J218" i="6"/>
  <c r="J250" i="6"/>
  <c r="J282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H37" i="6"/>
  <c r="G38" i="6"/>
  <c r="H38" i="6"/>
  <c r="G39" i="6"/>
  <c r="H39" i="6"/>
  <c r="G40" i="6"/>
  <c r="H40" i="6"/>
  <c r="G41" i="6"/>
  <c r="H41" i="6"/>
  <c r="G42" i="6"/>
  <c r="H42" i="6"/>
  <c r="G43" i="6"/>
  <c r="H43" i="6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J50" i="6" s="1"/>
  <c r="G51" i="6"/>
  <c r="H51" i="6"/>
  <c r="J51" i="6" s="1"/>
  <c r="G52" i="6"/>
  <c r="H52" i="6"/>
  <c r="J52" i="6" s="1"/>
  <c r="G53" i="6"/>
  <c r="H53" i="6"/>
  <c r="J53" i="6" s="1"/>
  <c r="G54" i="6"/>
  <c r="H54" i="6"/>
  <c r="J54" i="6" s="1"/>
  <c r="G55" i="6"/>
  <c r="H55" i="6"/>
  <c r="J55" i="6" s="1"/>
  <c r="G56" i="6"/>
  <c r="H56" i="6"/>
  <c r="J56" i="6" s="1"/>
  <c r="G57" i="6"/>
  <c r="H57" i="6"/>
  <c r="J57" i="6" s="1"/>
  <c r="G58" i="6"/>
  <c r="H58" i="6"/>
  <c r="G59" i="6"/>
  <c r="H59" i="6"/>
  <c r="J59" i="6" s="1"/>
  <c r="G60" i="6"/>
  <c r="H60" i="6"/>
  <c r="J60" i="6" s="1"/>
  <c r="G61" i="6"/>
  <c r="H61" i="6"/>
  <c r="J61" i="6" s="1"/>
  <c r="G62" i="6"/>
  <c r="H62" i="6"/>
  <c r="J62" i="6" s="1"/>
  <c r="G63" i="6"/>
  <c r="H63" i="6"/>
  <c r="J63" i="6" s="1"/>
  <c r="G64" i="6"/>
  <c r="H64" i="6"/>
  <c r="J64" i="6" s="1"/>
  <c r="G65" i="6"/>
  <c r="H65" i="6"/>
  <c r="J65" i="6" s="1"/>
  <c r="G66" i="6"/>
  <c r="H66" i="6"/>
  <c r="J66" i="6" s="1"/>
  <c r="G67" i="6"/>
  <c r="H67" i="6"/>
  <c r="J67" i="6" s="1"/>
  <c r="G68" i="6"/>
  <c r="H68" i="6"/>
  <c r="J68" i="6" s="1"/>
  <c r="G69" i="6"/>
  <c r="H69" i="6"/>
  <c r="J69" i="6" s="1"/>
  <c r="G70" i="6"/>
  <c r="H70" i="6"/>
  <c r="J70" i="6" s="1"/>
  <c r="G71" i="6"/>
  <c r="H71" i="6"/>
  <c r="J71" i="6" s="1"/>
  <c r="G72" i="6"/>
  <c r="H72" i="6"/>
  <c r="J72" i="6" s="1"/>
  <c r="G73" i="6"/>
  <c r="H73" i="6"/>
  <c r="J73" i="6" s="1"/>
  <c r="G74" i="6"/>
  <c r="H74" i="6"/>
  <c r="J74" i="6" s="1"/>
  <c r="G75" i="6"/>
  <c r="H75" i="6"/>
  <c r="J75" i="6" s="1"/>
  <c r="G76" i="6"/>
  <c r="H76" i="6"/>
  <c r="J76" i="6" s="1"/>
  <c r="G77" i="6"/>
  <c r="H77" i="6"/>
  <c r="J77" i="6" s="1"/>
  <c r="G78" i="6"/>
  <c r="H78" i="6"/>
  <c r="J78" i="6" s="1"/>
  <c r="G79" i="6"/>
  <c r="H79" i="6"/>
  <c r="J79" i="6" s="1"/>
  <c r="G80" i="6"/>
  <c r="H80" i="6"/>
  <c r="J80" i="6" s="1"/>
  <c r="G81" i="6"/>
  <c r="H81" i="6"/>
  <c r="J81" i="6" s="1"/>
  <c r="G82" i="6"/>
  <c r="H82" i="6"/>
  <c r="J82" i="6" s="1"/>
  <c r="G83" i="6"/>
  <c r="H83" i="6"/>
  <c r="J83" i="6" s="1"/>
  <c r="G84" i="6"/>
  <c r="H84" i="6"/>
  <c r="J84" i="6" s="1"/>
  <c r="G85" i="6"/>
  <c r="H85" i="6"/>
  <c r="J85" i="6" s="1"/>
  <c r="G86" i="6"/>
  <c r="H86" i="6"/>
  <c r="J86" i="6" s="1"/>
  <c r="G87" i="6"/>
  <c r="H87" i="6"/>
  <c r="J87" i="6" s="1"/>
  <c r="G88" i="6"/>
  <c r="H88" i="6"/>
  <c r="J88" i="6" s="1"/>
  <c r="G89" i="6"/>
  <c r="H89" i="6"/>
  <c r="J89" i="6" s="1"/>
  <c r="G90" i="6"/>
  <c r="H90" i="6"/>
  <c r="G91" i="6"/>
  <c r="H91" i="6"/>
  <c r="J91" i="6" s="1"/>
  <c r="G92" i="6"/>
  <c r="H92" i="6"/>
  <c r="J92" i="6" s="1"/>
  <c r="G93" i="6"/>
  <c r="H93" i="6"/>
  <c r="J93" i="6" s="1"/>
  <c r="G94" i="6"/>
  <c r="H94" i="6"/>
  <c r="J94" i="6" s="1"/>
  <c r="G95" i="6"/>
  <c r="H95" i="6"/>
  <c r="J95" i="6" s="1"/>
  <c r="G96" i="6"/>
  <c r="H96" i="6"/>
  <c r="J96" i="6" s="1"/>
  <c r="G97" i="6"/>
  <c r="H97" i="6"/>
  <c r="J97" i="6" s="1"/>
  <c r="G98" i="6"/>
  <c r="H98" i="6"/>
  <c r="J98" i="6" s="1"/>
  <c r="G99" i="6"/>
  <c r="H99" i="6"/>
  <c r="J99" i="6" s="1"/>
  <c r="G100" i="6"/>
  <c r="H100" i="6"/>
  <c r="J100" i="6" s="1"/>
  <c r="G101" i="6"/>
  <c r="H101" i="6"/>
  <c r="J101" i="6" s="1"/>
  <c r="G102" i="6"/>
  <c r="H102" i="6"/>
  <c r="J102" i="6" s="1"/>
  <c r="G103" i="6"/>
  <c r="H103" i="6"/>
  <c r="J103" i="6" s="1"/>
  <c r="G104" i="6"/>
  <c r="H104" i="6"/>
  <c r="J104" i="6" s="1"/>
  <c r="G105" i="6"/>
  <c r="H105" i="6"/>
  <c r="J105" i="6" s="1"/>
  <c r="G106" i="6"/>
  <c r="H106" i="6"/>
  <c r="J106" i="6" s="1"/>
  <c r="G107" i="6"/>
  <c r="H107" i="6"/>
  <c r="J107" i="6" s="1"/>
  <c r="G108" i="6"/>
  <c r="H108" i="6"/>
  <c r="J108" i="6" s="1"/>
  <c r="G109" i="6"/>
  <c r="H109" i="6"/>
  <c r="J109" i="6" s="1"/>
  <c r="G110" i="6"/>
  <c r="H110" i="6"/>
  <c r="J110" i="6" s="1"/>
  <c r="G111" i="6"/>
  <c r="H111" i="6"/>
  <c r="J111" i="6" s="1"/>
  <c r="G112" i="6"/>
  <c r="H112" i="6"/>
  <c r="J112" i="6" s="1"/>
  <c r="G113" i="6"/>
  <c r="H113" i="6"/>
  <c r="J113" i="6" s="1"/>
  <c r="G114" i="6"/>
  <c r="H114" i="6"/>
  <c r="J114" i="6" s="1"/>
  <c r="G115" i="6"/>
  <c r="H115" i="6"/>
  <c r="J115" i="6" s="1"/>
  <c r="G116" i="6"/>
  <c r="H116" i="6"/>
  <c r="J116" i="6" s="1"/>
  <c r="G117" i="6"/>
  <c r="H117" i="6"/>
  <c r="J117" i="6" s="1"/>
  <c r="G118" i="6"/>
  <c r="H118" i="6"/>
  <c r="J118" i="6" s="1"/>
  <c r="G119" i="6"/>
  <c r="H119" i="6"/>
  <c r="J119" i="6" s="1"/>
  <c r="G120" i="6"/>
  <c r="H120" i="6"/>
  <c r="J120" i="6" s="1"/>
  <c r="G121" i="6"/>
  <c r="H121" i="6"/>
  <c r="J121" i="6" s="1"/>
  <c r="G122" i="6"/>
  <c r="H122" i="6"/>
  <c r="G123" i="6"/>
  <c r="H123" i="6"/>
  <c r="J123" i="6" s="1"/>
  <c r="G124" i="6"/>
  <c r="H124" i="6"/>
  <c r="J124" i="6" s="1"/>
  <c r="G125" i="6"/>
  <c r="H125" i="6"/>
  <c r="J125" i="6" s="1"/>
  <c r="G126" i="6"/>
  <c r="H126" i="6"/>
  <c r="J126" i="6" s="1"/>
  <c r="G127" i="6"/>
  <c r="H127" i="6"/>
  <c r="J127" i="6" s="1"/>
  <c r="G128" i="6"/>
  <c r="H128" i="6"/>
  <c r="J128" i="6" s="1"/>
  <c r="G129" i="6"/>
  <c r="H129" i="6"/>
  <c r="J129" i="6" s="1"/>
  <c r="G130" i="6"/>
  <c r="H130" i="6"/>
  <c r="J130" i="6" s="1"/>
  <c r="G131" i="6"/>
  <c r="H131" i="6"/>
  <c r="J131" i="6" s="1"/>
  <c r="G132" i="6"/>
  <c r="H132" i="6"/>
  <c r="J132" i="6" s="1"/>
  <c r="G133" i="6"/>
  <c r="H133" i="6"/>
  <c r="J133" i="6" s="1"/>
  <c r="G134" i="6"/>
  <c r="H134" i="6"/>
  <c r="J134" i="6" s="1"/>
  <c r="G135" i="6"/>
  <c r="H135" i="6"/>
  <c r="J135" i="6" s="1"/>
  <c r="G136" i="6"/>
  <c r="H136" i="6"/>
  <c r="J136" i="6" s="1"/>
  <c r="G137" i="6"/>
  <c r="H137" i="6"/>
  <c r="J137" i="6" s="1"/>
  <c r="G138" i="6"/>
  <c r="H138" i="6"/>
  <c r="J138" i="6" s="1"/>
  <c r="G139" i="6"/>
  <c r="H139" i="6"/>
  <c r="J139" i="6" s="1"/>
  <c r="G140" i="6"/>
  <c r="H140" i="6"/>
  <c r="J140" i="6" s="1"/>
  <c r="G141" i="6"/>
  <c r="H141" i="6"/>
  <c r="J141" i="6" s="1"/>
  <c r="G142" i="6"/>
  <c r="H142" i="6"/>
  <c r="J142" i="6" s="1"/>
  <c r="G143" i="6"/>
  <c r="H143" i="6"/>
  <c r="J143" i="6" s="1"/>
  <c r="G144" i="6"/>
  <c r="H144" i="6"/>
  <c r="J144" i="6" s="1"/>
  <c r="G145" i="6"/>
  <c r="H145" i="6"/>
  <c r="J145" i="6" s="1"/>
  <c r="G146" i="6"/>
  <c r="H146" i="6"/>
  <c r="J146" i="6" s="1"/>
  <c r="G147" i="6"/>
  <c r="H147" i="6"/>
  <c r="J147" i="6" s="1"/>
  <c r="G148" i="6"/>
  <c r="H148" i="6"/>
  <c r="J148" i="6" s="1"/>
  <c r="G149" i="6"/>
  <c r="H149" i="6"/>
  <c r="J149" i="6" s="1"/>
  <c r="G150" i="6"/>
  <c r="H150" i="6"/>
  <c r="J150" i="6" s="1"/>
  <c r="G151" i="6"/>
  <c r="H151" i="6"/>
  <c r="J151" i="6" s="1"/>
  <c r="G152" i="6"/>
  <c r="H152" i="6"/>
  <c r="J152" i="6" s="1"/>
  <c r="G153" i="6"/>
  <c r="H153" i="6"/>
  <c r="J153" i="6" s="1"/>
  <c r="G154" i="6"/>
  <c r="H154" i="6"/>
  <c r="G155" i="6"/>
  <c r="H155" i="6"/>
  <c r="J155" i="6" s="1"/>
  <c r="G156" i="6"/>
  <c r="H156" i="6"/>
  <c r="J156" i="6" s="1"/>
  <c r="G157" i="6"/>
  <c r="H157" i="6"/>
  <c r="J157" i="6" s="1"/>
  <c r="G158" i="6"/>
  <c r="H158" i="6"/>
  <c r="J158" i="6" s="1"/>
  <c r="G159" i="6"/>
  <c r="H159" i="6"/>
  <c r="J159" i="6" s="1"/>
  <c r="G160" i="6"/>
  <c r="H160" i="6"/>
  <c r="J160" i="6" s="1"/>
  <c r="G161" i="6"/>
  <c r="H161" i="6"/>
  <c r="J161" i="6" s="1"/>
  <c r="G162" i="6"/>
  <c r="H162" i="6"/>
  <c r="J162" i="6" s="1"/>
  <c r="G163" i="6"/>
  <c r="H163" i="6"/>
  <c r="J163" i="6" s="1"/>
  <c r="G164" i="6"/>
  <c r="H164" i="6"/>
  <c r="J164" i="6" s="1"/>
  <c r="G165" i="6"/>
  <c r="H165" i="6"/>
  <c r="J165" i="6" s="1"/>
  <c r="G166" i="6"/>
  <c r="H166" i="6"/>
  <c r="J166" i="6" s="1"/>
  <c r="G167" i="6"/>
  <c r="H167" i="6"/>
  <c r="J167" i="6" s="1"/>
  <c r="G168" i="6"/>
  <c r="H168" i="6"/>
  <c r="J168" i="6" s="1"/>
  <c r="G169" i="6"/>
  <c r="H169" i="6"/>
  <c r="J169" i="6" s="1"/>
  <c r="G170" i="6"/>
  <c r="H170" i="6"/>
  <c r="J170" i="6" s="1"/>
  <c r="G171" i="6"/>
  <c r="H171" i="6"/>
  <c r="J171" i="6" s="1"/>
  <c r="G172" i="6"/>
  <c r="H172" i="6"/>
  <c r="J172" i="6" s="1"/>
  <c r="G173" i="6"/>
  <c r="H173" i="6"/>
  <c r="J173" i="6" s="1"/>
  <c r="G174" i="6"/>
  <c r="H174" i="6"/>
  <c r="J174" i="6" s="1"/>
  <c r="G175" i="6"/>
  <c r="H175" i="6"/>
  <c r="J175" i="6" s="1"/>
  <c r="G176" i="6"/>
  <c r="H176" i="6"/>
  <c r="J176" i="6" s="1"/>
  <c r="G177" i="6"/>
  <c r="H177" i="6"/>
  <c r="J177" i="6" s="1"/>
  <c r="G178" i="6"/>
  <c r="H178" i="6"/>
  <c r="J178" i="6" s="1"/>
  <c r="G179" i="6"/>
  <c r="H179" i="6"/>
  <c r="J179" i="6" s="1"/>
  <c r="G180" i="6"/>
  <c r="H180" i="6"/>
  <c r="J180" i="6" s="1"/>
  <c r="G181" i="6"/>
  <c r="H181" i="6"/>
  <c r="J181" i="6" s="1"/>
  <c r="G182" i="6"/>
  <c r="H182" i="6"/>
  <c r="J182" i="6" s="1"/>
  <c r="G183" i="6"/>
  <c r="H183" i="6"/>
  <c r="J183" i="6" s="1"/>
  <c r="G184" i="6"/>
  <c r="H184" i="6"/>
  <c r="J184" i="6" s="1"/>
  <c r="G185" i="6"/>
  <c r="H185" i="6"/>
  <c r="J185" i="6" s="1"/>
  <c r="G186" i="6"/>
  <c r="H186" i="6"/>
  <c r="G187" i="6"/>
  <c r="H187" i="6"/>
  <c r="J187" i="6" s="1"/>
  <c r="G188" i="6"/>
  <c r="H188" i="6"/>
  <c r="J188" i="6" s="1"/>
  <c r="G189" i="6"/>
  <c r="H189" i="6"/>
  <c r="J189" i="6" s="1"/>
  <c r="G190" i="6"/>
  <c r="H190" i="6"/>
  <c r="J190" i="6" s="1"/>
  <c r="G191" i="6"/>
  <c r="H191" i="6"/>
  <c r="J191" i="6" s="1"/>
  <c r="G192" i="6"/>
  <c r="H192" i="6"/>
  <c r="J192" i="6" s="1"/>
  <c r="G193" i="6"/>
  <c r="H193" i="6"/>
  <c r="J193" i="6" s="1"/>
  <c r="G194" i="6"/>
  <c r="H194" i="6"/>
  <c r="J194" i="6" s="1"/>
  <c r="G195" i="6"/>
  <c r="H195" i="6"/>
  <c r="J195" i="6" s="1"/>
  <c r="G196" i="6"/>
  <c r="H196" i="6"/>
  <c r="J196" i="6" s="1"/>
  <c r="G197" i="6"/>
  <c r="H197" i="6"/>
  <c r="J197" i="6" s="1"/>
  <c r="G198" i="6"/>
  <c r="H198" i="6"/>
  <c r="J198" i="6" s="1"/>
  <c r="G199" i="6"/>
  <c r="H199" i="6"/>
  <c r="J199" i="6" s="1"/>
  <c r="G200" i="6"/>
  <c r="H200" i="6"/>
  <c r="J200" i="6" s="1"/>
  <c r="G201" i="6"/>
  <c r="H201" i="6"/>
  <c r="J201" i="6" s="1"/>
  <c r="G202" i="6"/>
  <c r="H202" i="6"/>
  <c r="J202" i="6" s="1"/>
  <c r="G203" i="6"/>
  <c r="H203" i="6"/>
  <c r="J203" i="6" s="1"/>
  <c r="G204" i="6"/>
  <c r="H204" i="6"/>
  <c r="J204" i="6" s="1"/>
  <c r="G205" i="6"/>
  <c r="H205" i="6"/>
  <c r="J205" i="6" s="1"/>
  <c r="G206" i="6"/>
  <c r="H206" i="6"/>
  <c r="J206" i="6" s="1"/>
  <c r="G207" i="6"/>
  <c r="H207" i="6"/>
  <c r="J207" i="6" s="1"/>
  <c r="G208" i="6"/>
  <c r="H208" i="6"/>
  <c r="J208" i="6" s="1"/>
  <c r="G209" i="6"/>
  <c r="H209" i="6"/>
  <c r="J209" i="6" s="1"/>
  <c r="G210" i="6"/>
  <c r="H210" i="6"/>
  <c r="J210" i="6" s="1"/>
  <c r="G211" i="6"/>
  <c r="H211" i="6"/>
  <c r="J211" i="6" s="1"/>
  <c r="G212" i="6"/>
  <c r="H212" i="6"/>
  <c r="J212" i="6" s="1"/>
  <c r="G213" i="6"/>
  <c r="H213" i="6"/>
  <c r="J213" i="6" s="1"/>
  <c r="G214" i="6"/>
  <c r="H214" i="6"/>
  <c r="J214" i="6" s="1"/>
  <c r="G215" i="6"/>
  <c r="H215" i="6"/>
  <c r="J215" i="6" s="1"/>
  <c r="G216" i="6"/>
  <c r="H216" i="6"/>
  <c r="J216" i="6" s="1"/>
  <c r="G217" i="6"/>
  <c r="H217" i="6"/>
  <c r="J217" i="6" s="1"/>
  <c r="G218" i="6"/>
  <c r="H218" i="6"/>
  <c r="G219" i="6"/>
  <c r="H219" i="6"/>
  <c r="J219" i="6" s="1"/>
  <c r="G220" i="6"/>
  <c r="H220" i="6"/>
  <c r="J220" i="6" s="1"/>
  <c r="G221" i="6"/>
  <c r="H221" i="6"/>
  <c r="J221" i="6" s="1"/>
  <c r="G222" i="6"/>
  <c r="H222" i="6"/>
  <c r="J222" i="6" s="1"/>
  <c r="G223" i="6"/>
  <c r="H223" i="6"/>
  <c r="J223" i="6" s="1"/>
  <c r="G224" i="6"/>
  <c r="H224" i="6"/>
  <c r="J224" i="6" s="1"/>
  <c r="G225" i="6"/>
  <c r="H225" i="6"/>
  <c r="J225" i="6" s="1"/>
  <c r="G226" i="6"/>
  <c r="H226" i="6"/>
  <c r="J226" i="6" s="1"/>
  <c r="G227" i="6"/>
  <c r="H227" i="6"/>
  <c r="J227" i="6" s="1"/>
  <c r="G228" i="6"/>
  <c r="H228" i="6"/>
  <c r="J228" i="6" s="1"/>
  <c r="G229" i="6"/>
  <c r="H229" i="6"/>
  <c r="J229" i="6" s="1"/>
  <c r="G230" i="6"/>
  <c r="H230" i="6"/>
  <c r="J230" i="6" s="1"/>
  <c r="G231" i="6"/>
  <c r="H231" i="6"/>
  <c r="J231" i="6" s="1"/>
  <c r="G232" i="6"/>
  <c r="H232" i="6"/>
  <c r="J232" i="6" s="1"/>
  <c r="G233" i="6"/>
  <c r="H233" i="6"/>
  <c r="J233" i="6" s="1"/>
  <c r="G234" i="6"/>
  <c r="H234" i="6"/>
  <c r="J234" i="6" s="1"/>
  <c r="G235" i="6"/>
  <c r="H235" i="6"/>
  <c r="J235" i="6" s="1"/>
  <c r="G236" i="6"/>
  <c r="H236" i="6"/>
  <c r="J236" i="6" s="1"/>
  <c r="G237" i="6"/>
  <c r="H237" i="6"/>
  <c r="J237" i="6" s="1"/>
  <c r="G238" i="6"/>
  <c r="H238" i="6"/>
  <c r="J238" i="6" s="1"/>
  <c r="G239" i="6"/>
  <c r="H239" i="6"/>
  <c r="J239" i="6" s="1"/>
  <c r="G240" i="6"/>
  <c r="H240" i="6"/>
  <c r="J240" i="6" s="1"/>
  <c r="G241" i="6"/>
  <c r="H241" i="6"/>
  <c r="J241" i="6" s="1"/>
  <c r="G242" i="6"/>
  <c r="H242" i="6"/>
  <c r="J242" i="6" s="1"/>
  <c r="G243" i="6"/>
  <c r="H243" i="6"/>
  <c r="J243" i="6" s="1"/>
  <c r="G244" i="6"/>
  <c r="H244" i="6"/>
  <c r="J244" i="6" s="1"/>
  <c r="G245" i="6"/>
  <c r="H245" i="6"/>
  <c r="J245" i="6" s="1"/>
  <c r="G246" i="6"/>
  <c r="H246" i="6"/>
  <c r="J246" i="6" s="1"/>
  <c r="G247" i="6"/>
  <c r="H247" i="6"/>
  <c r="J247" i="6" s="1"/>
  <c r="G248" i="6"/>
  <c r="H248" i="6"/>
  <c r="J248" i="6" s="1"/>
  <c r="G249" i="6"/>
  <c r="H249" i="6"/>
  <c r="J249" i="6" s="1"/>
  <c r="G250" i="6"/>
  <c r="H250" i="6"/>
  <c r="G251" i="6"/>
  <c r="H251" i="6"/>
  <c r="J251" i="6" s="1"/>
  <c r="G252" i="6"/>
  <c r="H252" i="6"/>
  <c r="J252" i="6" s="1"/>
  <c r="G253" i="6"/>
  <c r="H253" i="6"/>
  <c r="J253" i="6" s="1"/>
  <c r="G254" i="6"/>
  <c r="H254" i="6"/>
  <c r="J254" i="6" s="1"/>
  <c r="G255" i="6"/>
  <c r="H255" i="6"/>
  <c r="J255" i="6" s="1"/>
  <c r="G256" i="6"/>
  <c r="H256" i="6"/>
  <c r="J256" i="6" s="1"/>
  <c r="G257" i="6"/>
  <c r="H257" i="6"/>
  <c r="J257" i="6" s="1"/>
  <c r="G258" i="6"/>
  <c r="H258" i="6"/>
  <c r="J258" i="6" s="1"/>
  <c r="G259" i="6"/>
  <c r="H259" i="6"/>
  <c r="J259" i="6" s="1"/>
  <c r="G260" i="6"/>
  <c r="H260" i="6"/>
  <c r="J260" i="6" s="1"/>
  <c r="G261" i="6"/>
  <c r="H261" i="6"/>
  <c r="J261" i="6" s="1"/>
  <c r="G262" i="6"/>
  <c r="H262" i="6"/>
  <c r="J262" i="6" s="1"/>
  <c r="G263" i="6"/>
  <c r="H263" i="6"/>
  <c r="J263" i="6" s="1"/>
  <c r="G264" i="6"/>
  <c r="H264" i="6"/>
  <c r="J264" i="6" s="1"/>
  <c r="G265" i="6"/>
  <c r="H265" i="6"/>
  <c r="J265" i="6" s="1"/>
  <c r="G266" i="6"/>
  <c r="H266" i="6"/>
  <c r="J266" i="6" s="1"/>
  <c r="G267" i="6"/>
  <c r="H267" i="6"/>
  <c r="J267" i="6" s="1"/>
  <c r="G268" i="6"/>
  <c r="H268" i="6"/>
  <c r="J268" i="6" s="1"/>
  <c r="G269" i="6"/>
  <c r="H269" i="6"/>
  <c r="J269" i="6" s="1"/>
  <c r="G270" i="6"/>
  <c r="H270" i="6"/>
  <c r="J270" i="6" s="1"/>
  <c r="G271" i="6"/>
  <c r="H271" i="6"/>
  <c r="J271" i="6" s="1"/>
  <c r="G272" i="6"/>
  <c r="H272" i="6"/>
  <c r="J272" i="6" s="1"/>
  <c r="G273" i="6"/>
  <c r="H273" i="6"/>
  <c r="J273" i="6" s="1"/>
  <c r="G274" i="6"/>
  <c r="H274" i="6"/>
  <c r="J274" i="6" s="1"/>
  <c r="G275" i="6"/>
  <c r="H275" i="6"/>
  <c r="J275" i="6" s="1"/>
  <c r="G276" i="6"/>
  <c r="H276" i="6"/>
  <c r="J276" i="6" s="1"/>
  <c r="G277" i="6"/>
  <c r="H277" i="6"/>
  <c r="J277" i="6" s="1"/>
  <c r="G278" i="6"/>
  <c r="H278" i="6"/>
  <c r="J278" i="6" s="1"/>
  <c r="G279" i="6"/>
  <c r="H279" i="6"/>
  <c r="J279" i="6" s="1"/>
  <c r="G280" i="6"/>
  <c r="H280" i="6"/>
  <c r="J280" i="6" s="1"/>
  <c r="G281" i="6"/>
  <c r="H281" i="6"/>
  <c r="J281" i="6" s="1"/>
  <c r="G282" i="6"/>
  <c r="H282" i="6"/>
  <c r="G283" i="6"/>
  <c r="H283" i="6"/>
  <c r="J283" i="6" s="1"/>
  <c r="G284" i="6"/>
  <c r="H284" i="6"/>
  <c r="J284" i="6" s="1"/>
  <c r="G285" i="6"/>
  <c r="H285" i="6"/>
  <c r="J285" i="6" s="1"/>
  <c r="G286" i="6"/>
  <c r="H286" i="6"/>
  <c r="J286" i="6" s="1"/>
  <c r="G287" i="6"/>
  <c r="H287" i="6"/>
  <c r="J287" i="6" s="1"/>
  <c r="G288" i="6"/>
  <c r="H288" i="6"/>
  <c r="J288" i="6" s="1"/>
  <c r="G289" i="6"/>
  <c r="H289" i="6"/>
  <c r="J289" i="6" s="1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H2" i="6"/>
  <c r="G2" i="6"/>
  <c r="J45" i="6" l="1"/>
  <c r="J29" i="6"/>
  <c r="J49" i="6"/>
  <c r="J37" i="6"/>
  <c r="J41" i="6"/>
  <c r="J48" i="6"/>
  <c r="J40" i="6"/>
  <c r="J32" i="6"/>
  <c r="J24" i="6"/>
  <c r="J16" i="6"/>
  <c r="J8" i="6"/>
  <c r="J47" i="6"/>
  <c r="J39" i="6"/>
  <c r="J31" i="6"/>
  <c r="J23" i="6"/>
  <c r="J15" i="6"/>
  <c r="J7" i="6"/>
  <c r="J9" i="6"/>
  <c r="J46" i="6"/>
  <c r="J38" i="6"/>
  <c r="J30" i="6"/>
  <c r="J22" i="6"/>
  <c r="J14" i="6"/>
  <c r="J6" i="6"/>
  <c r="J21" i="6"/>
  <c r="J13" i="6"/>
  <c r="J5" i="6"/>
  <c r="J33" i="6"/>
  <c r="J44" i="6"/>
  <c r="J36" i="6"/>
  <c r="J28" i="6"/>
  <c r="J20" i="6"/>
  <c r="J12" i="6"/>
  <c r="J4" i="6"/>
  <c r="J17" i="6"/>
  <c r="J43" i="6"/>
  <c r="J35" i="6"/>
  <c r="J27" i="6"/>
  <c r="J19" i="6"/>
  <c r="J11" i="6"/>
  <c r="J3" i="6"/>
  <c r="J25" i="6"/>
  <c r="J42" i="6"/>
  <c r="J34" i="6"/>
  <c r="J26" i="6"/>
  <c r="J18" i="6"/>
  <c r="J10" i="6"/>
  <c r="J2" i="6"/>
</calcChain>
</file>

<file path=xl/sharedStrings.xml><?xml version="1.0" encoding="utf-8"?>
<sst xmlns="http://schemas.openxmlformats.org/spreadsheetml/2006/main" count="2644" uniqueCount="88">
  <si>
    <t>Department ID</t>
  </si>
  <si>
    <t>Department Name</t>
  </si>
  <si>
    <t>PL Line Item</t>
  </si>
  <si>
    <t>Currency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</si>
  <si>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</si>
  <si>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</si>
  <si>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</si>
  <si>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</si>
  <si>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</si>
  <si>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</si>
  <si>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</si>
  <si>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</si>
  <si>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</si>
  <si>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</si>
  <si>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</si>
  <si>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</si>
  <si>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Overall Result</t>
  </si>
  <si>
    <t>WF</t>
  </si>
  <si>
    <t>Wandfarbe</t>
  </si>
  <si>
    <t>NET SALES</t>
  </si>
  <si>
    <t>EUR</t>
  </si>
  <si>
    <t>Total Direct Special Sales Costs</t>
  </si>
  <si>
    <t>Variable Cost of Sales</t>
  </si>
  <si>
    <t>CONTRIBUTION MARGIN</t>
  </si>
  <si>
    <t>Fixed Cost of Sales</t>
  </si>
  <si>
    <t>STANDARD MARGIN</t>
  </si>
  <si>
    <t>DEVIATIONS</t>
  </si>
  <si>
    <t>GROSS MARGIN</t>
  </si>
  <si>
    <t>Overhead</t>
  </si>
  <si>
    <t>EBIT</t>
  </si>
  <si>
    <t>FL</t>
  </si>
  <si>
    <t>Flugzeuglackierungen</t>
  </si>
  <si>
    <t>AL</t>
  </si>
  <si>
    <t>Autolackierungen</t>
  </si>
  <si>
    <t>SL</t>
  </si>
  <si>
    <t>Schiffslackierungen</t>
  </si>
  <si>
    <t>FF</t>
  </si>
  <si>
    <t>Fassadenfarbe</t>
  </si>
  <si>
    <t>LF</t>
  </si>
  <si>
    <t>Lacke &amp; Farben</t>
  </si>
  <si>
    <t>Einheit</t>
  </si>
  <si>
    <t>Kürzel</t>
  </si>
  <si>
    <t>Bereich</t>
  </si>
  <si>
    <t>Region</t>
  </si>
  <si>
    <t>Monat</t>
  </si>
  <si>
    <t>Wert</t>
  </si>
  <si>
    <t>Sales in kg</t>
  </si>
  <si>
    <t>AA</t>
  </si>
  <si>
    <t>Coating &amp; Adhesive Resins</t>
  </si>
  <si>
    <t>Americas</t>
  </si>
  <si>
    <t>1</t>
  </si>
  <si>
    <t>Trading</t>
  </si>
  <si>
    <t>2</t>
  </si>
  <si>
    <t>Polyacrylates</t>
  </si>
  <si>
    <t>3</t>
  </si>
  <si>
    <t>Polyolefins</t>
  </si>
  <si>
    <t>4</t>
  </si>
  <si>
    <t>Polyesters</t>
  </si>
  <si>
    <t>5</t>
  </si>
  <si>
    <t>Polybutadienes</t>
  </si>
  <si>
    <t>6</t>
  </si>
  <si>
    <t>7</t>
  </si>
  <si>
    <t>8</t>
  </si>
  <si>
    <t>9</t>
  </si>
  <si>
    <t>10</t>
  </si>
  <si>
    <t>11</t>
  </si>
  <si>
    <t>12</t>
  </si>
  <si>
    <t>Asia Pacific</t>
  </si>
  <si>
    <t>Evonik Profit Center (Global Standard )</t>
  </si>
  <si>
    <t/>
  </si>
  <si>
    <t>Calendar month</t>
  </si>
  <si>
    <t>Europe</t>
  </si>
  <si>
    <t>MEAI</t>
  </si>
  <si>
    <t>VR</t>
  </si>
  <si>
    <t>RC</t>
  </si>
  <si>
    <t>PY</t>
  </si>
  <si>
    <t>HE</t>
  </si>
  <si>
    <t>VQ</t>
  </si>
  <si>
    <t>Department</t>
  </si>
  <si>
    <t>Month</t>
  </si>
  <si>
    <t>Sales Region</t>
  </si>
  <si>
    <t>Sales volume in liter</t>
  </si>
  <si>
    <t>Lacke &amp; Farben // LF</t>
  </si>
  <si>
    <t>Flugzeuglackierungen // FL</t>
  </si>
  <si>
    <t>Fassadenfarbe // FF</t>
  </si>
  <si>
    <t>Schiffslackierungen // SL</t>
  </si>
  <si>
    <t>Autolackierungen // AL</t>
  </si>
  <si>
    <t>Wandfarbe //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</si>
</sst>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##,000"/>
    <numFmt numFmtId="166" formatCode="&quot;     &quot;@"/>
    <numFmt numFmtId="167" formatCode="&quot;[-] &quot;@"/>
    <numFmt numFmtId="168" formatCode="&quot;  [+] &quot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8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42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>
      <alignment horizontal="left" vertical="center" indent="1"/>
    </xf>
    <xf numFmtId="165" fontId="3" fillId="0" borderId="2" applyNumberFormat="0" applyProtection="0">
      <alignment horizontal="right" vertical="center"/>
    </xf>
    <xf numFmtId="165" fontId="2" fillId="0" borderId="3" applyNumberFormat="0" applyProtection="0">
      <alignment horizontal="right" vertical="center"/>
    </xf>
    <xf numFmtId="165" fontId="3" fillId="3" borderId="1" applyNumberFormat="0" applyAlignment="0" applyProtection="0">
      <alignment horizontal="left" vertical="center" indent="1"/>
    </xf>
    <xf numFmtId="0" fontId="4" fillId="4" borderId="3" applyNumberFormat="0" applyAlignment="0">
      <alignment horizontal="left" vertical="center" indent="1"/>
      <protection locked="0"/>
    </xf>
    <xf numFmtId="0" fontId="4" fillId="5" borderId="3" applyNumberFormat="0" applyAlignment="0" applyProtection="0">
      <alignment horizontal="left" vertical="center" indent="1"/>
    </xf>
    <xf numFmtId="165" fontId="3" fillId="6" borderId="2" applyNumberFormat="0" applyBorder="0">
      <alignment horizontal="right" vertical="center"/>
      <protection locked="0"/>
    </xf>
    <xf numFmtId="0" fontId="4" fillId="4" borderId="3" applyNumberFormat="0" applyAlignment="0">
      <alignment horizontal="left" vertical="center" indent="1"/>
      <protection locked="0"/>
    </xf>
    <xf numFmtId="165" fontId="2" fillId="5" borderId="3" applyNumberFormat="0" applyProtection="0">
      <alignment horizontal="right" vertical="center"/>
    </xf>
    <xf numFmtId="165" fontId="2" fillId="6" borderId="3" applyNumberFormat="0" applyBorder="0">
      <alignment horizontal="right" vertical="center"/>
      <protection locked="0"/>
    </xf>
    <xf numFmtId="165" fontId="5" fillId="7" borderId="4" applyNumberFormat="0" applyBorder="0" applyAlignment="0" applyProtection="0">
      <alignment horizontal="right" vertical="center" indent="1"/>
    </xf>
    <xf numFmtId="165" fontId="6" fillId="8" borderId="4" applyNumberFormat="0" applyBorder="0" applyAlignment="0" applyProtection="0">
      <alignment horizontal="right" vertical="center" indent="1"/>
    </xf>
    <xf numFmtId="165" fontId="6" fillId="9" borderId="4" applyNumberFormat="0" applyBorder="0" applyAlignment="0" applyProtection="0">
      <alignment horizontal="right" vertical="center" indent="1"/>
    </xf>
    <xf numFmtId="165" fontId="7" fillId="10" borderId="4" applyNumberFormat="0" applyBorder="0" applyAlignment="0" applyProtection="0">
      <alignment horizontal="right" vertical="center" indent="1"/>
    </xf>
    <xf numFmtId="165" fontId="7" fillId="11" borderId="4" applyNumberFormat="0" applyBorder="0" applyAlignment="0" applyProtection="0">
      <alignment horizontal="right" vertical="center" indent="1"/>
    </xf>
    <xf numFmtId="165" fontId="7" fillId="12" borderId="4" applyNumberFormat="0" applyBorder="0" applyAlignment="0" applyProtection="0">
      <alignment horizontal="right" vertical="center" indent="1"/>
    </xf>
    <xf numFmtId="165" fontId="8" fillId="13" borderId="4" applyNumberFormat="0" applyBorder="0" applyAlignment="0" applyProtection="0">
      <alignment horizontal="right" vertical="center" indent="1"/>
    </xf>
    <xf numFmtId="165" fontId="8" fillId="14" borderId="4" applyNumberFormat="0" applyBorder="0" applyAlignment="0" applyProtection="0">
      <alignment horizontal="right" vertical="center" indent="1"/>
    </xf>
    <xf numFmtId="165" fontId="8" fillId="15" borderId="4" applyNumberFormat="0" applyBorder="0" applyAlignment="0" applyProtection="0">
      <alignment horizontal="right" vertical="center" indent="1"/>
    </xf>
    <xf numFmtId="0" fontId="9" fillId="0" borderId="1" applyNumberFormat="0" applyFont="0" applyFill="0" applyAlignment="0" applyProtection="0"/>
    <xf numFmtId="165" fontId="10" fillId="3" borderId="0" applyNumberFormat="0" applyAlignment="0" applyProtection="0">
      <alignment horizontal="left" vertical="center" indent="1"/>
    </xf>
    <xf numFmtId="0" fontId="9" fillId="0" borderId="5" applyNumberFormat="0" applyFont="0" applyFill="0" applyAlignment="0" applyProtection="0"/>
    <xf numFmtId="165" fontId="3" fillId="0" borderId="2" applyNumberFormat="0" applyFill="0" applyBorder="0" applyAlignment="0" applyProtection="0">
      <alignment horizontal="right" vertical="center"/>
    </xf>
    <xf numFmtId="165" fontId="3" fillId="3" borderId="1" applyNumberFormat="0" applyAlignment="0" applyProtection="0">
      <alignment horizontal="left" vertical="center" indent="1"/>
    </xf>
    <xf numFmtId="0" fontId="2" fillId="2" borderId="3" applyNumberFormat="0" applyAlignment="0" applyProtection="0">
      <alignment horizontal="left" vertical="center" indent="1"/>
    </xf>
    <xf numFmtId="0" fontId="4" fillId="16" borderId="1" applyNumberFormat="0" applyAlignment="0" applyProtection="0">
      <alignment horizontal="left" vertical="center" indent="1"/>
    </xf>
    <xf numFmtId="0" fontId="4" fillId="17" borderId="1" applyNumberFormat="0" applyAlignment="0" applyProtection="0">
      <alignment horizontal="left" vertical="center" indent="1"/>
    </xf>
    <xf numFmtId="0" fontId="4" fillId="18" borderId="1" applyNumberFormat="0" applyAlignment="0" applyProtection="0">
      <alignment horizontal="left" vertical="center" indent="1"/>
    </xf>
    <xf numFmtId="0" fontId="4" fillId="6" borderId="1" applyNumberFormat="0" applyAlignment="0" applyProtection="0">
      <alignment horizontal="left" vertical="center" indent="1"/>
    </xf>
    <xf numFmtId="0" fontId="4" fillId="5" borderId="3" applyNumberFormat="0" applyAlignment="0" applyProtection="0">
      <alignment horizontal="left" vertical="center" indent="1"/>
    </xf>
    <xf numFmtId="0" fontId="11" fillId="0" borderId="6" applyNumberFormat="0" applyFill="0" applyBorder="0" applyAlignment="0" applyProtection="0"/>
    <xf numFmtId="0" fontId="12" fillId="0" borderId="6" applyNumberFormat="0" applyBorder="0" applyAlignment="0" applyProtection="0"/>
    <xf numFmtId="0" fontId="11" fillId="4" borderId="3" applyNumberFormat="0" applyAlignment="0">
      <alignment horizontal="left" vertical="center" indent="1"/>
      <protection locked="0"/>
    </xf>
    <xf numFmtId="0" fontId="11" fillId="4" borderId="3" applyNumberFormat="0" applyAlignment="0">
      <alignment horizontal="left" vertical="center" indent="1"/>
      <protection locked="0"/>
    </xf>
    <xf numFmtId="0" fontId="11" fillId="5" borderId="3" applyNumberFormat="0" applyAlignment="0" applyProtection="0">
      <alignment horizontal="left" vertical="center" indent="1"/>
    </xf>
    <xf numFmtId="165" fontId="13" fillId="5" borderId="3" applyNumberFormat="0" applyProtection="0">
      <alignment horizontal="right" vertical="center"/>
    </xf>
    <xf numFmtId="165" fontId="14" fillId="6" borderId="2" applyNumberFormat="0" applyBorder="0">
      <alignment horizontal="right" vertical="center"/>
      <protection locked="0"/>
    </xf>
    <xf numFmtId="165" fontId="13" fillId="6" borderId="3" applyNumberFormat="0" applyBorder="0">
      <alignment horizontal="right" vertical="center"/>
      <protection locked="0"/>
    </xf>
    <xf numFmtId="165" fontId="3" fillId="0" borderId="2" applyNumberFormat="0" applyFill="0" applyBorder="0" applyAlignment="0" applyProtection="0">
      <alignment horizontal="right" vertical="center"/>
    </xf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2" applyNumberFormat="1" applyAlignment="1"/>
    <xf numFmtId="0" fontId="2" fillId="2" borderId="1" xfId="2" quotePrefix="1" applyNumberFormat="1" applyAlignment="1"/>
    <xf numFmtId="166" fontId="4" fillId="16" borderId="1" xfId="27" quotePrefix="1" applyNumberFormat="1" applyAlignment="1"/>
    <xf numFmtId="0" fontId="3" fillId="3" borderId="1" xfId="25" quotePrefix="1" applyNumberFormat="1" applyAlignment="1">
      <alignment horizontal="right"/>
    </xf>
    <xf numFmtId="0" fontId="3" fillId="3" borderId="1" xfId="25" quotePrefix="1" applyNumberFormat="1" applyAlignment="1"/>
    <xf numFmtId="0" fontId="2" fillId="2" borderId="7" xfId="26" quotePrefix="1" applyNumberFormat="1" applyBorder="1" applyAlignment="1"/>
    <xf numFmtId="0" fontId="4" fillId="16" borderId="1" xfId="27" quotePrefix="1" applyNumberFormat="1" applyAlignment="1"/>
    <xf numFmtId="0" fontId="4" fillId="17" borderId="1" xfId="28" quotePrefix="1" applyNumberFormat="1" applyAlignment="1"/>
    <xf numFmtId="168" fontId="4" fillId="17" borderId="1" xfId="28" quotePrefix="1" applyNumberFormat="1" applyAlignment="1"/>
    <xf numFmtId="167" fontId="4" fillId="16" borderId="1" xfId="27" quotePrefix="1" applyNumberFormat="1" applyAlignment="1"/>
    <xf numFmtId="9" fontId="0" fillId="0" borderId="0" xfId="1" applyFont="1"/>
    <xf numFmtId="164" fontId="0" fillId="0" borderId="0" xfId="41" applyFont="1"/>
    <xf numFmtId="49" fontId="0" fillId="0" borderId="0" xfId="0" applyNumberFormat="1"/>
    <xf numFmtId="164" fontId="2" fillId="2" borderId="1" xfId="41" applyFont="1" applyFill="1" applyBorder="1" applyAlignment="1"/>
    <xf numFmtId="164" fontId="4" fillId="17" borderId="1" xfId="41" quotePrefix="1" applyFont="1" applyFill="1" applyBorder="1" applyAlignment="1"/>
  </cellXfs>
  <cellStyles count="42">
    <cellStyle name="Komma" xfId="41" builtinId="3"/>
    <cellStyle name="Prozent" xfId="1" builtinId="5"/>
    <cellStyle name="SAPBorder" xfId="21" xr:uid="{4522F3FA-CF17-4258-B6D0-46AEB8CB446F}"/>
    <cellStyle name="SAPDataCell" xfId="3" xr:uid="{06D21E88-6069-4B77-951D-E01AB0F3E9CE}"/>
    <cellStyle name="SAPDataRemoved" xfId="22" xr:uid="{586AAD8C-5339-49CB-8B6D-886D107F613E}"/>
    <cellStyle name="SAPDataTotalCell" xfId="4" xr:uid="{F2628AFA-D954-4C52-920E-3CCA47469E2B}"/>
    <cellStyle name="SAPDimensionCell" xfId="2" xr:uid="{4879B4CA-CC0C-4EBD-A753-007A1AB46A00}"/>
    <cellStyle name="SAPEditableDataCell" xfId="6" xr:uid="{4440AF0E-2A63-4F57-84F9-7F551AEBB07F}"/>
    <cellStyle name="SAPEditableDataTotalCell" xfId="9" xr:uid="{6FCDAB30-29DB-42E4-B0C0-7FD64BC8E8F3}"/>
    <cellStyle name="SAPEmphasized" xfId="32" xr:uid="{FFC587DF-44E5-442E-B4BF-4ACBF99D9127}"/>
    <cellStyle name="SAPEmphasizedEditableDataCell" xfId="34" xr:uid="{91AA32B9-03B5-4E86-A86D-CB5825F971E2}"/>
    <cellStyle name="SAPEmphasizedEditableDataTotalCell" xfId="35" xr:uid="{A63A78FB-6886-4F7B-800B-60BCDDD228FA}"/>
    <cellStyle name="SAPEmphasizedLockedDataCell" xfId="38" xr:uid="{91FE477D-2E7C-4EE7-9CF0-690C58890B0B}"/>
    <cellStyle name="SAPEmphasizedLockedDataTotalCell" xfId="39" xr:uid="{ABDF38A6-34EA-4ADE-BD0D-98490B30E495}"/>
    <cellStyle name="SAPEmphasizedReadonlyDataCell" xfId="36" xr:uid="{C168C147-D313-4FF0-8C36-02BF28B8D7B1}"/>
    <cellStyle name="SAPEmphasizedReadonlyDataTotalCell" xfId="37" xr:uid="{7DCAA508-C05A-4245-B3E4-87D6A2CEB11C}"/>
    <cellStyle name="SAPEmphasizedTotal" xfId="33" xr:uid="{FC4F1417-8457-4ADA-83C0-5F3CF16E5A9B}"/>
    <cellStyle name="SAPError" xfId="23" xr:uid="{0E35928B-67EA-43CB-ADFA-D67F97674DFE}"/>
    <cellStyle name="SAPExceptionLevel1" xfId="12" xr:uid="{9B13AEE8-C52D-4F0F-A881-5A2E751436FC}"/>
    <cellStyle name="SAPExceptionLevel2" xfId="13" xr:uid="{9F431667-5D46-447D-B729-79990BBB1AC6}"/>
    <cellStyle name="SAPExceptionLevel3" xfId="14" xr:uid="{6A51CF5E-DD34-4B8A-9EF8-184AD7337A2D}"/>
    <cellStyle name="SAPExceptionLevel4" xfId="15" xr:uid="{CAF811AB-BD26-495D-B1A6-7038FDDAD02D}"/>
    <cellStyle name="SAPExceptionLevel5" xfId="16" xr:uid="{E237DDA3-48EB-411C-A8F9-C0A9D4E99070}"/>
    <cellStyle name="SAPExceptionLevel6" xfId="17" xr:uid="{9974FE0B-9AF6-4ED0-8510-33092F14DBF9}"/>
    <cellStyle name="SAPExceptionLevel7" xfId="18" xr:uid="{947CD242-8E29-42B8-91D3-427B749FEB9F}"/>
    <cellStyle name="SAPExceptionLevel8" xfId="19" xr:uid="{9A55EBE8-4132-418D-86E8-488E7A334102}"/>
    <cellStyle name="SAPExceptionLevel9" xfId="20" xr:uid="{2836E833-AC75-4355-A03D-B63CE58431BB}"/>
    <cellStyle name="SAPFormula" xfId="40" xr:uid="{14F63844-A4BF-4A2C-B74A-DAFCDF33ACE3}"/>
    <cellStyle name="SAPGroupingFillCell" xfId="5" xr:uid="{5F18DF93-9A5B-45FE-A887-38590B3CDB4A}"/>
    <cellStyle name="SAPHierarchyCell0" xfId="27" xr:uid="{DBDE897E-2C2C-41FE-8070-A90473115107}"/>
    <cellStyle name="SAPHierarchyCell1" xfId="28" xr:uid="{4CD2FEA3-11F1-4988-9D0B-FA0D2A426FCF}"/>
    <cellStyle name="SAPHierarchyCell2" xfId="29" xr:uid="{83514B38-AFA0-4D55-97BF-E5C60302ADF6}"/>
    <cellStyle name="SAPHierarchyCell3" xfId="30" xr:uid="{FEC6EF7E-29B0-4802-B4CE-1202C1DC6C48}"/>
    <cellStyle name="SAPHierarchyCell4" xfId="31" xr:uid="{ADEEAFAA-4113-4DED-83FA-A5C182E63561}"/>
    <cellStyle name="SAPLockedDataCell" xfId="8" xr:uid="{3DF3D3EB-2DB9-404B-812D-62A476D8D768}"/>
    <cellStyle name="SAPLockedDataTotalCell" xfId="11" xr:uid="{EA4119DC-C1C1-41BF-AFF0-F959E5C2D717}"/>
    <cellStyle name="SAPMemberCell" xfId="25" xr:uid="{BF0B9717-0582-4107-891F-AB5BE1BF380E}"/>
    <cellStyle name="SAPMemberTotalCell" xfId="26" xr:uid="{1922BEA2-D9F1-4698-BCE4-C498D98E6E15}"/>
    <cellStyle name="SAPMessageText" xfId="24" xr:uid="{82D0B30E-2573-481B-96B5-AA7FFCC7E5A4}"/>
    <cellStyle name="SAPReadonlyDataCell" xfId="7" xr:uid="{CA113CB3-8883-4761-855F-E6874DABE766}"/>
    <cellStyle name="SAPReadonlyDataTotalCell" xfId="10" xr:uid="{25E12B93-2251-436D-9032-4174AC45FFAB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F71E-5F11-42FF-B9DA-D88424339C97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  <pageSetup orientation="portrait" r:id="rId1"/>
  <headerFooter>
    <oddFooter>&amp;L&amp;1#&amp;"Calibri"&amp;10&amp;K000000[internal]</oddFooter>
  </headerFooter>
  <customProperties>
    <customPr name="_pios_id" r:id="rId2"/>
    <customPr name="CofWorksheetType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91AA-760C-4481-B9D8-1B6B9AE81039}">
  <dimension ref="A1:Q61"/>
  <sheetViews>
    <sheetView tabSelected="1" zoomScaleNormal="100" workbookViewId="0">
      <selection activeCell="B23" sqref="B23"/>
    </sheetView>
  </sheetViews>
  <sheetFormatPr defaultColWidth="11.42578125" defaultRowHeight="15"/>
  <cols>
    <col min="1" max="1" width="38.140625" bestFit="1" customWidth="1"/>
    <col min="2" max="2" width="23.140625" bestFit="1" customWidth="1"/>
    <col min="3" max="3" width="37.7109375" bestFit="1" customWidth="1"/>
    <col min="4" max="4" width="15.7109375" bestFit="1" customWidth="1"/>
    <col min="5" max="13" width="16.28515625" bestFit="1" customWidth="1"/>
    <col min="14" max="14" width="15.85546875" bestFit="1" customWidth="1"/>
    <col min="15" max="16" width="16.28515625" bestFit="1" customWidth="1"/>
    <col min="17" max="17" width="17.42578125" bestFit="1" customWidth="1"/>
  </cols>
  <sheetData>
    <row r="1" spans="1:17">
      <c r="A1" s="2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>
      <c r="A2" s="8" t="s">
        <v>17</v>
      </c>
      <c r="B2" s="8" t="s">
        <v>18</v>
      </c>
      <c r="C2" s="3" t="s">
        <v>19</v>
      </c>
      <c r="D2" s="4" t="s">
        <v>20</v>
      </c>
      <c r="E2" s="12">
        <v>1247021.6886456334</v>
      </c>
      <c r="F2" s="12">
        <v>1163492.3551225176</v>
      </c>
      <c r="G2" s="12">
        <v>1785497.4402184528</v>
      </c>
      <c r="H2" s="12">
        <v>1445397.1672205853</v>
      </c>
      <c r="I2" s="12">
        <v>2220313.7931995988</v>
      </c>
      <c r="J2" s="12">
        <v>1828036.491621868</v>
      </c>
      <c r="K2" s="12">
        <v>1820069.8762860713</v>
      </c>
      <c r="L2" s="12">
        <v>1737107.2685435745</v>
      </c>
      <c r="M2" s="12">
        <v>1346286.8644666742</v>
      </c>
      <c r="N2" s="12">
        <v>1077769.8506192439</v>
      </c>
      <c r="O2" s="12">
        <v>1243272.7304310794</v>
      </c>
      <c r="P2" s="12">
        <v>709495.67349992378</v>
      </c>
      <c r="Q2" s="12">
        <v>17623761.199875228</v>
      </c>
    </row>
    <row r="3" spans="1:17">
      <c r="A3" s="8" t="s">
        <v>17</v>
      </c>
      <c r="B3" s="8" t="s">
        <v>18</v>
      </c>
      <c r="C3" s="3" t="s">
        <v>21</v>
      </c>
      <c r="D3" s="4" t="s">
        <v>20</v>
      </c>
      <c r="E3" s="12">
        <v>29544.974886577584</v>
      </c>
      <c r="F3" s="12">
        <v>35017.796283563031</v>
      </c>
      <c r="G3" s="12">
        <v>36170.254116580836</v>
      </c>
      <c r="H3" s="12">
        <v>24490.019228054465</v>
      </c>
      <c r="I3" s="12">
        <v>58059.525843364478</v>
      </c>
      <c r="J3" s="12">
        <v>48612.935403469004</v>
      </c>
      <c r="K3" s="12">
        <v>30987.191712956392</v>
      </c>
      <c r="L3" s="12">
        <v>41014.1485373166</v>
      </c>
      <c r="M3" s="12">
        <v>32933.006310377335</v>
      </c>
      <c r="N3" s="12">
        <v>20688.918533050954</v>
      </c>
      <c r="O3" s="12">
        <v>33773.248248984375</v>
      </c>
      <c r="P3" s="12">
        <v>18334.42417457969</v>
      </c>
      <c r="Q3" s="12">
        <v>409626.44327887491</v>
      </c>
    </row>
    <row r="4" spans="1:17">
      <c r="A4" s="8" t="s">
        <v>17</v>
      </c>
      <c r="B4" s="8" t="s">
        <v>18</v>
      </c>
      <c r="C4" s="3" t="s">
        <v>22</v>
      </c>
      <c r="D4" s="4" t="s">
        <v>20</v>
      </c>
      <c r="E4" s="12">
        <v>929508.89862296823</v>
      </c>
      <c r="F4" s="12">
        <v>845958.4362822054</v>
      </c>
      <c r="G4" s="12">
        <v>1352967.349549958</v>
      </c>
      <c r="H4" s="12">
        <v>1155214.6060073725</v>
      </c>
      <c r="I4" s="12">
        <v>1722115.2448479224</v>
      </c>
      <c r="J4" s="12">
        <v>1481181.6515432431</v>
      </c>
      <c r="K4" s="12">
        <v>1571041.7385309436</v>
      </c>
      <c r="L4" s="12">
        <v>1400427.2903803675</v>
      </c>
      <c r="M4" s="12">
        <v>1112062.9187722658</v>
      </c>
      <c r="N4" s="12">
        <v>851860.18249659298</v>
      </c>
      <c r="O4" s="12">
        <v>1032379.7730575474</v>
      </c>
      <c r="P4" s="12">
        <v>584474.51735362597</v>
      </c>
      <c r="Q4" s="12">
        <v>14039192.60744502</v>
      </c>
    </row>
    <row r="5" spans="1:17">
      <c r="A5" s="8" t="s">
        <v>17</v>
      </c>
      <c r="B5" s="8" t="s">
        <v>18</v>
      </c>
      <c r="C5" s="3" t="s">
        <v>23</v>
      </c>
      <c r="D5" s="4" t="s">
        <v>20</v>
      </c>
      <c r="E5" s="12">
        <v>287967.81513608759</v>
      </c>
      <c r="F5" s="12">
        <v>282516.12255675043</v>
      </c>
      <c r="G5" s="12">
        <v>396359.83655191469</v>
      </c>
      <c r="H5" s="12">
        <v>265692.54198516032</v>
      </c>
      <c r="I5" s="12">
        <v>440139.02250831167</v>
      </c>
      <c r="J5" s="12">
        <v>298241.90467515698</v>
      </c>
      <c r="K5" s="12">
        <v>218040.94604217069</v>
      </c>
      <c r="L5" s="12">
        <v>295665.82962588978</v>
      </c>
      <c r="M5" s="12">
        <v>201290.9393840289</v>
      </c>
      <c r="N5" s="12">
        <v>205220.74958960025</v>
      </c>
      <c r="O5" s="12">
        <v>177119.7091245483</v>
      </c>
      <c r="P5" s="12">
        <v>106686.73197171788</v>
      </c>
      <c r="Q5" s="12">
        <v>3174942.1491513443</v>
      </c>
    </row>
    <row r="6" spans="1:17">
      <c r="A6" s="8" t="s">
        <v>17</v>
      </c>
      <c r="B6" s="8" t="s">
        <v>18</v>
      </c>
      <c r="C6" s="3" t="s">
        <v>24</v>
      </c>
      <c r="D6" s="4" t="s">
        <v>20</v>
      </c>
      <c r="E6" s="12">
        <v>-208.21956809005434</v>
      </c>
      <c r="F6" s="12">
        <v>-207.87461189566619</v>
      </c>
      <c r="G6" s="12">
        <v>-206.03164591118343</v>
      </c>
      <c r="H6" s="12">
        <v>-205.20488792577871</v>
      </c>
      <c r="I6" s="12">
        <v>-203.58248650280703</v>
      </c>
      <c r="J6" s="12">
        <v>-205.05820505740044</v>
      </c>
      <c r="K6" s="12">
        <v>-182.53571735822962</v>
      </c>
      <c r="L6" s="12">
        <v>-205.71605549739988</v>
      </c>
      <c r="M6" s="12">
        <v>-206.30278697091293</v>
      </c>
      <c r="N6" s="12">
        <v>-203.91585665821216</v>
      </c>
      <c r="O6" s="12">
        <v>-205.78495199618359</v>
      </c>
      <c r="P6" s="12">
        <v>341.2310236695867</v>
      </c>
      <c r="Q6" s="12">
        <v>-1898.9957501942408</v>
      </c>
    </row>
    <row r="7" spans="1:17">
      <c r="A7" s="8" t="s">
        <v>17</v>
      </c>
      <c r="B7" s="8" t="s">
        <v>18</v>
      </c>
      <c r="C7" s="3" t="s">
        <v>25</v>
      </c>
      <c r="D7" s="4" t="s">
        <v>20</v>
      </c>
      <c r="E7" s="12">
        <v>288176.03470417688</v>
      </c>
      <c r="F7" s="12">
        <v>282723.99716864462</v>
      </c>
      <c r="G7" s="12">
        <v>396565.86819782585</v>
      </c>
      <c r="H7" s="12">
        <v>265897.7468730862</v>
      </c>
      <c r="I7" s="12">
        <v>440342.60499481449</v>
      </c>
      <c r="J7" s="12">
        <v>298446.96288021439</v>
      </c>
      <c r="K7" s="12">
        <v>218223.48175952892</v>
      </c>
      <c r="L7" s="12">
        <v>295871.54568138719</v>
      </c>
      <c r="M7" s="12">
        <v>201497.24217099982</v>
      </c>
      <c r="N7" s="12">
        <v>205424.66544625844</v>
      </c>
      <c r="O7" s="12">
        <v>177325.49407654448</v>
      </c>
      <c r="P7" s="12">
        <v>106345.50094804828</v>
      </c>
      <c r="Q7" s="12">
        <v>3176841.1449015364</v>
      </c>
    </row>
    <row r="8" spans="1:17">
      <c r="A8" s="8" t="s">
        <v>17</v>
      </c>
      <c r="B8" s="8" t="s">
        <v>18</v>
      </c>
      <c r="C8" s="3" t="s">
        <v>26</v>
      </c>
      <c r="D8" s="4" t="s">
        <v>20</v>
      </c>
      <c r="E8" s="12">
        <v>18226.1203635243</v>
      </c>
      <c r="F8" s="12">
        <v>45335.264635395317</v>
      </c>
      <c r="G8" s="12">
        <v>-19984.306507203321</v>
      </c>
      <c r="H8" s="12">
        <v>-87186.667050861084</v>
      </c>
      <c r="I8" s="12">
        <v>-98774.005588361528</v>
      </c>
      <c r="J8" s="12">
        <v>100788.45853647328</v>
      </c>
      <c r="K8" s="12">
        <v>-27160.268951561826</v>
      </c>
      <c r="L8" s="12">
        <v>-38218.460898647143</v>
      </c>
      <c r="M8" s="12">
        <v>55577.536742822384</v>
      </c>
      <c r="N8" s="12">
        <v>-43405.606889000104</v>
      </c>
      <c r="O8" s="12">
        <v>29866.939768581826</v>
      </c>
      <c r="P8" s="12">
        <v>-549415.36473008967</v>
      </c>
      <c r="Q8" s="12">
        <v>-614350.3605689276</v>
      </c>
    </row>
    <row r="9" spans="1:17">
      <c r="A9" s="8" t="s">
        <v>17</v>
      </c>
      <c r="B9" s="8" t="s">
        <v>18</v>
      </c>
      <c r="C9" s="3" t="s">
        <v>27</v>
      </c>
      <c r="D9" s="4" t="s">
        <v>20</v>
      </c>
      <c r="E9" s="12">
        <v>306402.15506770118</v>
      </c>
      <c r="F9" s="12">
        <v>328059.26180403994</v>
      </c>
      <c r="G9" s="12">
        <v>376581.56169062253</v>
      </c>
      <c r="H9" s="12">
        <v>178711.07982222512</v>
      </c>
      <c r="I9" s="12">
        <v>341568.59940645297</v>
      </c>
      <c r="J9" s="12">
        <v>399235.42141668766</v>
      </c>
      <c r="K9" s="12">
        <v>191063.21280796709</v>
      </c>
      <c r="L9" s="12">
        <v>257653.08478274004</v>
      </c>
      <c r="M9" s="12">
        <v>257074.7789138222</v>
      </c>
      <c r="N9" s="12">
        <v>162019.05855725834</v>
      </c>
      <c r="O9" s="12">
        <v>207192.4338451263</v>
      </c>
      <c r="P9" s="12">
        <v>-443069.86378204136</v>
      </c>
      <c r="Q9" s="12">
        <v>2562490.7843326088</v>
      </c>
    </row>
    <row r="10" spans="1:17">
      <c r="A10" s="8" t="s">
        <v>17</v>
      </c>
      <c r="B10" s="8" t="s">
        <v>18</v>
      </c>
      <c r="C10" s="3" t="s">
        <v>28</v>
      </c>
      <c r="D10" s="4" t="s">
        <v>20</v>
      </c>
      <c r="E10" s="12">
        <v>47173.905281488289</v>
      </c>
      <c r="F10" s="12">
        <v>48331.762360076886</v>
      </c>
      <c r="G10" s="12">
        <v>216468.51469658848</v>
      </c>
      <c r="H10" s="12">
        <v>-96896.505430938414</v>
      </c>
      <c r="I10" s="12">
        <v>40647.71384506597</v>
      </c>
      <c r="J10" s="12">
        <v>45378.823431983648</v>
      </c>
      <c r="K10" s="12">
        <v>63998.060399076785</v>
      </c>
      <c r="L10" s="12">
        <v>36525.028359158838</v>
      </c>
      <c r="M10" s="12">
        <v>108898.30521624614</v>
      </c>
      <c r="N10" s="12">
        <v>53585.351693789358</v>
      </c>
      <c r="O10" s="12">
        <v>60367.672595658078</v>
      </c>
      <c r="P10" s="12">
        <v>280603.15386553085</v>
      </c>
      <c r="Q10" s="12">
        <v>905081.78631373076</v>
      </c>
    </row>
    <row r="11" spans="1:17">
      <c r="A11" s="8" t="s">
        <v>17</v>
      </c>
      <c r="B11" s="8" t="s">
        <v>18</v>
      </c>
      <c r="C11" s="3" t="s">
        <v>29</v>
      </c>
      <c r="D11" s="4" t="s">
        <v>20</v>
      </c>
      <c r="E11" s="12">
        <v>259228.24978621289</v>
      </c>
      <c r="F11" s="12">
        <v>279727.49944396305</v>
      </c>
      <c r="G11" s="12">
        <v>160113.04699403406</v>
      </c>
      <c r="H11" s="12">
        <v>275607.58525316353</v>
      </c>
      <c r="I11" s="12">
        <v>300920.885561387</v>
      </c>
      <c r="J11" s="12">
        <v>353856.59798470401</v>
      </c>
      <c r="K11" s="12">
        <v>127065.15240889031</v>
      </c>
      <c r="L11" s="12">
        <v>221128.05642358121</v>
      </c>
      <c r="M11" s="12">
        <v>148176.47369757606</v>
      </c>
      <c r="N11" s="12">
        <v>108433.70686346898</v>
      </c>
      <c r="O11" s="12">
        <v>146824.76124946823</v>
      </c>
      <c r="P11" s="12">
        <v>-723673.01764757221</v>
      </c>
      <c r="Q11" s="12">
        <v>1657408.998018878</v>
      </c>
    </row>
    <row r="12" spans="1:17">
      <c r="A12" s="8" t="s">
        <v>30</v>
      </c>
      <c r="B12" s="8" t="s">
        <v>31</v>
      </c>
      <c r="C12" s="3" t="s">
        <v>19</v>
      </c>
      <c r="D12" s="4" t="s">
        <v>20</v>
      </c>
      <c r="E12" s="12">
        <v>1896848.214962861</v>
      </c>
      <c r="F12" s="12">
        <v>1993741.0064209797</v>
      </c>
      <c r="G12" s="12">
        <v>2406710.5973080341</v>
      </c>
      <c r="H12" s="12">
        <v>1697544.1143824856</v>
      </c>
      <c r="I12" s="12">
        <v>2124754.0894758203</v>
      </c>
      <c r="J12" s="12">
        <v>2109483.2206244967</v>
      </c>
      <c r="K12" s="12">
        <v>2091914.3179854818</v>
      </c>
      <c r="L12" s="12">
        <v>1656143.7017789918</v>
      </c>
      <c r="M12" s="12">
        <v>2338328.3139670216</v>
      </c>
      <c r="N12" s="12">
        <v>2026010.3767893892</v>
      </c>
      <c r="O12" s="12">
        <v>2500480.6257227506</v>
      </c>
      <c r="P12" s="12">
        <v>2059433.4191713326</v>
      </c>
      <c r="Q12" s="12">
        <v>24901391.998589538</v>
      </c>
    </row>
    <row r="13" spans="1:17">
      <c r="A13" s="8" t="s">
        <v>30</v>
      </c>
      <c r="B13" s="8" t="s">
        <v>31</v>
      </c>
      <c r="C13" s="3" t="s">
        <v>21</v>
      </c>
      <c r="D13" s="4" t="s">
        <v>20</v>
      </c>
      <c r="E13" s="12">
        <v>29663.410292810266</v>
      </c>
      <c r="F13" s="12">
        <v>30727.1799153879</v>
      </c>
      <c r="G13" s="12">
        <v>40181.371315149234</v>
      </c>
      <c r="H13" s="12">
        <v>36197.549539311396</v>
      </c>
      <c r="I13" s="12">
        <v>29527.607765517576</v>
      </c>
      <c r="J13" s="12">
        <v>36916.051915968274</v>
      </c>
      <c r="K13" s="12">
        <v>37828.483341583036</v>
      </c>
      <c r="L13" s="12">
        <v>40038.45430125494</v>
      </c>
      <c r="M13" s="12">
        <v>41762.455885911375</v>
      </c>
      <c r="N13" s="12">
        <v>34718.308598429852</v>
      </c>
      <c r="O13" s="12">
        <v>39360.508620578148</v>
      </c>
      <c r="P13" s="12">
        <v>31437.923656328981</v>
      </c>
      <c r="Q13" s="12">
        <v>428359.30514823255</v>
      </c>
    </row>
    <row r="14" spans="1:17">
      <c r="A14" s="8" t="s">
        <v>30</v>
      </c>
      <c r="B14" s="8" t="s">
        <v>31</v>
      </c>
      <c r="C14" s="3" t="s">
        <v>22</v>
      </c>
      <c r="D14" s="4" t="s">
        <v>20</v>
      </c>
      <c r="E14" s="12">
        <v>981590.64325917768</v>
      </c>
      <c r="F14" s="12">
        <v>1030976.2176185865</v>
      </c>
      <c r="G14" s="12">
        <v>1233981.8392167536</v>
      </c>
      <c r="H14" s="12">
        <v>879200.79748377367</v>
      </c>
      <c r="I14" s="12">
        <v>1156962.8608555067</v>
      </c>
      <c r="J14" s="12">
        <v>1192754.2597921959</v>
      </c>
      <c r="K14" s="12">
        <v>1196632.7814107144</v>
      </c>
      <c r="L14" s="12">
        <v>882380.14409076818</v>
      </c>
      <c r="M14" s="12">
        <v>1283406.7978260133</v>
      </c>
      <c r="N14" s="12">
        <v>1095830.0751823108</v>
      </c>
      <c r="O14" s="12">
        <v>1347124.3803674118</v>
      </c>
      <c r="P14" s="12">
        <v>1342634.778437044</v>
      </c>
      <c r="Q14" s="12">
        <v>13623475.575540263</v>
      </c>
    </row>
    <row r="15" spans="1:17">
      <c r="A15" s="8" t="s">
        <v>30</v>
      </c>
      <c r="B15" s="8" t="s">
        <v>31</v>
      </c>
      <c r="C15" s="3" t="s">
        <v>23</v>
      </c>
      <c r="D15" s="4" t="s">
        <v>20</v>
      </c>
      <c r="E15" s="12">
        <v>885594.16141087096</v>
      </c>
      <c r="F15" s="12">
        <v>932037.6088870049</v>
      </c>
      <c r="G15" s="12">
        <v>1132547.3867761227</v>
      </c>
      <c r="H15" s="12">
        <v>782145.76735940098</v>
      </c>
      <c r="I15" s="12">
        <v>938263.62085479777</v>
      </c>
      <c r="J15" s="12">
        <v>879812.90891633392</v>
      </c>
      <c r="K15" s="12">
        <v>857453.05323318427</v>
      </c>
      <c r="L15" s="12">
        <v>733725.10338696872</v>
      </c>
      <c r="M15" s="12">
        <v>1013159.0602550916</v>
      </c>
      <c r="N15" s="12">
        <v>895461.99300864898</v>
      </c>
      <c r="O15" s="12">
        <v>1113995.7367347525</v>
      </c>
      <c r="P15" s="12">
        <v>685360.7170779591</v>
      </c>
      <c r="Q15" s="12">
        <v>10849557.117901139</v>
      </c>
    </row>
    <row r="16" spans="1:17">
      <c r="A16" s="8" t="s">
        <v>30</v>
      </c>
      <c r="B16" s="8" t="s">
        <v>31</v>
      </c>
      <c r="C16" s="3" t="s">
        <v>24</v>
      </c>
      <c r="D16" s="4" t="s">
        <v>20</v>
      </c>
      <c r="E16" s="12">
        <v>222948.34772004792</v>
      </c>
      <c r="F16" s="12">
        <v>257532.30354515201</v>
      </c>
      <c r="G16" s="12">
        <v>405276.16215665196</v>
      </c>
      <c r="H16" s="12">
        <v>227157.47045441362</v>
      </c>
      <c r="I16" s="12">
        <v>288177.67038042832</v>
      </c>
      <c r="J16" s="12">
        <v>286200.90092719643</v>
      </c>
      <c r="K16" s="12">
        <v>256715.07076556669</v>
      </c>
      <c r="L16" s="12">
        <v>179097.90208217755</v>
      </c>
      <c r="M16" s="12">
        <v>320763.01845180814</v>
      </c>
      <c r="N16" s="12">
        <v>244701.31268665296</v>
      </c>
      <c r="O16" s="12">
        <v>324057.73347741866</v>
      </c>
      <c r="P16" s="12">
        <v>208593.42220299106</v>
      </c>
      <c r="Q16" s="12">
        <v>3221221.3148505143</v>
      </c>
    </row>
    <row r="17" spans="1:17">
      <c r="A17" s="8" t="s">
        <v>30</v>
      </c>
      <c r="B17" s="8" t="s">
        <v>31</v>
      </c>
      <c r="C17" s="3" t="s">
        <v>25</v>
      </c>
      <c r="D17" s="4" t="s">
        <v>20</v>
      </c>
      <c r="E17" s="12">
        <v>662645.81369082315</v>
      </c>
      <c r="F17" s="12">
        <v>674505.30534185283</v>
      </c>
      <c r="G17" s="12">
        <v>727271.224619471</v>
      </c>
      <c r="H17" s="12">
        <v>554988.29690498742</v>
      </c>
      <c r="I17" s="12">
        <v>650085.95047436946</v>
      </c>
      <c r="J17" s="12">
        <v>593612.00798913755</v>
      </c>
      <c r="K17" s="12">
        <v>600737.98246761761</v>
      </c>
      <c r="L17" s="12">
        <v>554627.20130479126</v>
      </c>
      <c r="M17" s="12">
        <v>692396.04180328338</v>
      </c>
      <c r="N17" s="12">
        <v>650760.6803219961</v>
      </c>
      <c r="O17" s="12">
        <v>789938.00325733365</v>
      </c>
      <c r="P17" s="12">
        <v>476767.29487497022</v>
      </c>
      <c r="Q17" s="12">
        <v>7628335.8030506242</v>
      </c>
    </row>
    <row r="18" spans="1:17">
      <c r="A18" s="8" t="s">
        <v>30</v>
      </c>
      <c r="B18" s="8" t="s">
        <v>31</v>
      </c>
      <c r="C18" s="3" t="s">
        <v>26</v>
      </c>
      <c r="D18" s="4" t="s">
        <v>20</v>
      </c>
      <c r="E18" s="12">
        <v>-107661.1649660141</v>
      </c>
      <c r="F18" s="12">
        <v>-86568.28415074409</v>
      </c>
      <c r="G18" s="12">
        <v>-133074.86684960569</v>
      </c>
      <c r="H18" s="12">
        <v>-255162.78188002185</v>
      </c>
      <c r="I18" s="12">
        <v>-95088.298047178192</v>
      </c>
      <c r="J18" s="12">
        <v>-12927.604142317432</v>
      </c>
      <c r="K18" s="12">
        <v>-101559.66188045597</v>
      </c>
      <c r="L18" s="12">
        <v>-183038.88687562925</v>
      </c>
      <c r="M18" s="12">
        <v>-246435.35080095421</v>
      </c>
      <c r="N18" s="12">
        <v>-234568.81131450279</v>
      </c>
      <c r="O18" s="12">
        <v>-312011.46569011937</v>
      </c>
      <c r="P18" s="12">
        <v>-527578.7554657656</v>
      </c>
      <c r="Q18" s="12">
        <v>-2295675.9320633011</v>
      </c>
    </row>
    <row r="19" spans="1:17">
      <c r="A19" s="8" t="s">
        <v>30</v>
      </c>
      <c r="B19" s="8" t="s">
        <v>31</v>
      </c>
      <c r="C19" s="3" t="s">
        <v>27</v>
      </c>
      <c r="D19" s="4" t="s">
        <v>20</v>
      </c>
      <c r="E19" s="12">
        <v>554984.64872480906</v>
      </c>
      <c r="F19" s="12">
        <v>587937.02119110874</v>
      </c>
      <c r="G19" s="12">
        <v>594196.35776986531</v>
      </c>
      <c r="H19" s="12">
        <v>299825.51502496557</v>
      </c>
      <c r="I19" s="12">
        <v>554997.65242719126</v>
      </c>
      <c r="J19" s="12">
        <v>580684.40384682012</v>
      </c>
      <c r="K19" s="12">
        <v>499178.32058716164</v>
      </c>
      <c r="L19" s="12">
        <v>371588.31442916201</v>
      </c>
      <c r="M19" s="12">
        <v>445960.69100232917</v>
      </c>
      <c r="N19" s="12">
        <v>416191.86900749331</v>
      </c>
      <c r="O19" s="12">
        <v>477926.53756721428</v>
      </c>
      <c r="P19" s="12">
        <v>-50811.460590795417</v>
      </c>
      <c r="Q19" s="12">
        <v>5332659.8709873231</v>
      </c>
    </row>
    <row r="20" spans="1:17">
      <c r="A20" s="8" t="s">
        <v>30</v>
      </c>
      <c r="B20" s="8" t="s">
        <v>31</v>
      </c>
      <c r="C20" s="3" t="s">
        <v>28</v>
      </c>
      <c r="D20" s="4" t="s">
        <v>20</v>
      </c>
      <c r="E20" s="12">
        <v>219352.94390506914</v>
      </c>
      <c r="F20" s="12">
        <v>241457.43088297587</v>
      </c>
      <c r="G20" s="12">
        <v>207179.53240534553</v>
      </c>
      <c r="H20" s="12">
        <v>209279.08169323727</v>
      </c>
      <c r="I20" s="12">
        <v>341225.51920988952</v>
      </c>
      <c r="J20" s="12">
        <v>219372.88920190727</v>
      </c>
      <c r="K20" s="12">
        <v>236028.88846547366</v>
      </c>
      <c r="L20" s="12">
        <v>227045.0098745432</v>
      </c>
      <c r="M20" s="12">
        <v>237615.99407838425</v>
      </c>
      <c r="N20" s="12">
        <v>213852.64587720775</v>
      </c>
      <c r="O20" s="12">
        <v>231550.66219311528</v>
      </c>
      <c r="P20" s="12">
        <v>214467.08330655881</v>
      </c>
      <c r="Q20" s="12">
        <v>2798427.6810936984</v>
      </c>
    </row>
    <row r="21" spans="1:17">
      <c r="A21" s="8" t="s">
        <v>30</v>
      </c>
      <c r="B21" s="8" t="s">
        <v>31</v>
      </c>
      <c r="C21" s="3" t="s">
        <v>29</v>
      </c>
      <c r="D21" s="4" t="s">
        <v>20</v>
      </c>
      <c r="E21" s="12">
        <v>335631.70481973991</v>
      </c>
      <c r="F21" s="12">
        <v>346479.59030813287</v>
      </c>
      <c r="G21" s="12">
        <v>387016.82536451978</v>
      </c>
      <c r="H21" s="12">
        <v>90546.433331728302</v>
      </c>
      <c r="I21" s="12">
        <v>213772.13321730174</v>
      </c>
      <c r="J21" s="12">
        <v>361311.51464491285</v>
      </c>
      <c r="K21" s="12">
        <v>263149.43212168798</v>
      </c>
      <c r="L21" s="12">
        <v>144543.30455461881</v>
      </c>
      <c r="M21" s="12">
        <v>208344.69692394492</v>
      </c>
      <c r="N21" s="12">
        <v>202339.22313028557</v>
      </c>
      <c r="O21" s="12">
        <v>246375.87537409901</v>
      </c>
      <c r="P21" s="12">
        <v>-265278.54389735422</v>
      </c>
      <c r="Q21" s="12">
        <v>2534232.1898936247</v>
      </c>
    </row>
    <row r="22" spans="1:17">
      <c r="A22" s="8" t="s">
        <v>32</v>
      </c>
      <c r="B22" s="8" t="s">
        <v>33</v>
      </c>
      <c r="C22" s="3" t="s">
        <v>19</v>
      </c>
      <c r="D22" s="4" t="s">
        <v>20</v>
      </c>
      <c r="E22" s="12">
        <v>4786498.4972095396</v>
      </c>
      <c r="F22" s="12">
        <v>3952063.450975623</v>
      </c>
      <c r="G22" s="12">
        <v>5246906.5998367127</v>
      </c>
      <c r="H22" s="12">
        <v>4721394.3298126357</v>
      </c>
      <c r="I22" s="12">
        <v>4024445.9908016436</v>
      </c>
      <c r="J22" s="12">
        <v>4515409.1642082324</v>
      </c>
      <c r="K22" s="12">
        <v>3961694.9486891394</v>
      </c>
      <c r="L22" s="12">
        <v>3603475.3997372775</v>
      </c>
      <c r="M22" s="12">
        <v>3197287.8668595599</v>
      </c>
      <c r="N22" s="12">
        <v>2897868.1459641051</v>
      </c>
      <c r="O22" s="12">
        <v>3193782.7761831591</v>
      </c>
      <c r="P22" s="12">
        <v>2804471.3196557919</v>
      </c>
      <c r="Q22" s="12">
        <v>46905298.489933506</v>
      </c>
    </row>
    <row r="23" spans="1:17">
      <c r="A23" s="8" t="s">
        <v>32</v>
      </c>
      <c r="B23" s="8" t="s">
        <v>33</v>
      </c>
      <c r="C23" s="3" t="s">
        <v>21</v>
      </c>
      <c r="D23" s="4" t="s">
        <v>20</v>
      </c>
      <c r="E23" s="12">
        <v>128229.71553948526</v>
      </c>
      <c r="F23" s="12">
        <v>112209.13377219901</v>
      </c>
      <c r="G23" s="12">
        <v>132551.35261084227</v>
      </c>
      <c r="H23" s="12">
        <v>93675.95775615811</v>
      </c>
      <c r="I23" s="12">
        <v>111436.440712365</v>
      </c>
      <c r="J23" s="12">
        <v>106736.82409080284</v>
      </c>
      <c r="K23" s="12">
        <v>117662.36882199536</v>
      </c>
      <c r="L23" s="12">
        <v>65056.684660361498</v>
      </c>
      <c r="M23" s="12">
        <v>64849.776594230847</v>
      </c>
      <c r="N23" s="12">
        <v>79120.727885153567</v>
      </c>
      <c r="O23" s="12">
        <v>64601.552432478697</v>
      </c>
      <c r="P23" s="12">
        <v>53556.884918970056</v>
      </c>
      <c r="Q23" s="12">
        <v>1129687.4197950433</v>
      </c>
    </row>
    <row r="24" spans="1:17">
      <c r="A24" s="8" t="s">
        <v>32</v>
      </c>
      <c r="B24" s="8" t="s">
        <v>33</v>
      </c>
      <c r="C24" s="3" t="s">
        <v>22</v>
      </c>
      <c r="D24" s="4" t="s">
        <v>20</v>
      </c>
      <c r="E24" s="12">
        <v>3303252.890994749</v>
      </c>
      <c r="F24" s="12">
        <v>2788954.0727688326</v>
      </c>
      <c r="G24" s="12">
        <v>3760766.9358978085</v>
      </c>
      <c r="H24" s="12">
        <v>3534036.845713573</v>
      </c>
      <c r="I24" s="12">
        <v>2838705.4189425176</v>
      </c>
      <c r="J24" s="12">
        <v>3321547.2355028884</v>
      </c>
      <c r="K24" s="12">
        <v>2909775.3971464378</v>
      </c>
      <c r="L24" s="12">
        <v>2706976.4961544848</v>
      </c>
      <c r="M24" s="12">
        <v>2454064.3612647392</v>
      </c>
      <c r="N24" s="12">
        <v>1867105.1649002943</v>
      </c>
      <c r="O24" s="12">
        <v>2185787.4664101107</v>
      </c>
      <c r="P24" s="12">
        <v>2133755.7584022325</v>
      </c>
      <c r="Q24" s="12">
        <v>33804728.044098765</v>
      </c>
    </row>
    <row r="25" spans="1:17">
      <c r="A25" s="8" t="s">
        <v>32</v>
      </c>
      <c r="B25" s="8" t="s">
        <v>33</v>
      </c>
      <c r="C25" s="3" t="s">
        <v>23</v>
      </c>
      <c r="D25" s="4" t="s">
        <v>20</v>
      </c>
      <c r="E25" s="12">
        <v>1355015.8906752903</v>
      </c>
      <c r="F25" s="12">
        <v>1050900.2444345693</v>
      </c>
      <c r="G25" s="12">
        <v>1353588.3113280521</v>
      </c>
      <c r="H25" s="12">
        <v>1093681.5263429207</v>
      </c>
      <c r="I25" s="12">
        <v>1074304.1311467434</v>
      </c>
      <c r="J25" s="12">
        <v>1087125.1046145461</v>
      </c>
      <c r="K25" s="12">
        <v>934257.18272071297</v>
      </c>
      <c r="L25" s="12">
        <v>831442.21892243263</v>
      </c>
      <c r="M25" s="12">
        <v>678373.72900059144</v>
      </c>
      <c r="N25" s="12">
        <v>951642.25317865028</v>
      </c>
      <c r="O25" s="12">
        <v>943393.75734056253</v>
      </c>
      <c r="P25" s="12">
        <v>617158.67633458728</v>
      </c>
      <c r="Q25" s="12">
        <v>11970883.026039656</v>
      </c>
    </row>
    <row r="26" spans="1:17">
      <c r="A26" s="8" t="s">
        <v>32</v>
      </c>
      <c r="B26" s="8" t="s">
        <v>33</v>
      </c>
      <c r="C26" s="3" t="s">
        <v>24</v>
      </c>
      <c r="D26" s="4" t="s">
        <v>20</v>
      </c>
      <c r="E26" s="12">
        <v>453012.285868067</v>
      </c>
      <c r="F26" s="12">
        <v>351266.27904067916</v>
      </c>
      <c r="G26" s="12">
        <v>384494.29782743024</v>
      </c>
      <c r="H26" s="12">
        <v>402022.09828779154</v>
      </c>
      <c r="I26" s="12">
        <v>338155.97735171113</v>
      </c>
      <c r="J26" s="12">
        <v>288160.80185056484</v>
      </c>
      <c r="K26" s="12">
        <v>251453.0339969284</v>
      </c>
      <c r="L26" s="12">
        <v>237046.40494914463</v>
      </c>
      <c r="M26" s="12">
        <v>215414.36671480251</v>
      </c>
      <c r="N26" s="12">
        <v>231520.66572017776</v>
      </c>
      <c r="O26" s="12">
        <v>236501.80924080714</v>
      </c>
      <c r="P26" s="12">
        <v>189277.14419810611</v>
      </c>
      <c r="Q26" s="12">
        <v>3578325.1650462151</v>
      </c>
    </row>
    <row r="27" spans="1:17">
      <c r="A27" s="8" t="s">
        <v>32</v>
      </c>
      <c r="B27" s="8" t="s">
        <v>33</v>
      </c>
      <c r="C27" s="3" t="s">
        <v>25</v>
      </c>
      <c r="D27" s="4" t="s">
        <v>20</v>
      </c>
      <c r="E27" s="12">
        <v>902003.60480722343</v>
      </c>
      <c r="F27" s="12">
        <v>699633.96539389226</v>
      </c>
      <c r="G27" s="12">
        <v>969094.01350062212</v>
      </c>
      <c r="H27" s="12">
        <v>691659.42805512925</v>
      </c>
      <c r="I27" s="12">
        <v>736148.1537950323</v>
      </c>
      <c r="J27" s="12">
        <v>798964.30276398105</v>
      </c>
      <c r="K27" s="12">
        <v>682804.1487237846</v>
      </c>
      <c r="L27" s="12">
        <v>594395.81397328794</v>
      </c>
      <c r="M27" s="12">
        <v>462959.36228578893</v>
      </c>
      <c r="N27" s="12">
        <v>720121.58745847258</v>
      </c>
      <c r="O27" s="12">
        <v>706891.94809975545</v>
      </c>
      <c r="P27" s="12">
        <v>427881.53213648114</v>
      </c>
      <c r="Q27" s="12">
        <v>8392557.8609934412</v>
      </c>
    </row>
    <row r="28" spans="1:17">
      <c r="A28" s="8" t="s">
        <v>32</v>
      </c>
      <c r="B28" s="8" t="s">
        <v>33</v>
      </c>
      <c r="C28" s="3" t="s">
        <v>26</v>
      </c>
      <c r="D28" s="4" t="s">
        <v>20</v>
      </c>
      <c r="E28" s="12">
        <v>-362700.94615321583</v>
      </c>
      <c r="F28" s="12">
        <v>-118272.51800098817</v>
      </c>
      <c r="G28" s="12">
        <v>49523.840856113588</v>
      </c>
      <c r="H28" s="12">
        <v>-56165.472462444101</v>
      </c>
      <c r="I28" s="12">
        <v>-258800.01508739812</v>
      </c>
      <c r="J28" s="12">
        <v>-342974.30070324813</v>
      </c>
      <c r="K28" s="12">
        <v>-361400.22999339481</v>
      </c>
      <c r="L28" s="12">
        <v>-390848.12544692552</v>
      </c>
      <c r="M28" s="12">
        <v>-503833.05615421134</v>
      </c>
      <c r="N28" s="12">
        <v>-662092.13026852044</v>
      </c>
      <c r="O28" s="12">
        <v>-621571.12786879844</v>
      </c>
      <c r="P28" s="12">
        <v>-254576.82432495715</v>
      </c>
      <c r="Q28" s="12">
        <v>-3883710.9056079797</v>
      </c>
    </row>
    <row r="29" spans="1:17">
      <c r="A29" s="8" t="s">
        <v>32</v>
      </c>
      <c r="B29" s="8" t="s">
        <v>33</v>
      </c>
      <c r="C29" s="3" t="s">
        <v>27</v>
      </c>
      <c r="D29" s="4" t="s">
        <v>20</v>
      </c>
      <c r="E29" s="12">
        <v>539302.6586540076</v>
      </c>
      <c r="F29" s="12">
        <v>581361.44739290408</v>
      </c>
      <c r="G29" s="12">
        <v>1018617.8543567357</v>
      </c>
      <c r="H29" s="12">
        <v>635493.95559268515</v>
      </c>
      <c r="I29" s="12">
        <v>477348.13870763418</v>
      </c>
      <c r="J29" s="12">
        <v>455990.00206073292</v>
      </c>
      <c r="K29" s="12">
        <v>321403.91873038979</v>
      </c>
      <c r="L29" s="12">
        <v>203547.68852636241</v>
      </c>
      <c r="M29" s="12">
        <v>-40873.693868422422</v>
      </c>
      <c r="N29" s="12">
        <v>58029.457189952125</v>
      </c>
      <c r="O29" s="12">
        <v>85320.820230957004</v>
      </c>
      <c r="P29" s="12">
        <v>173304.70781152399</v>
      </c>
      <c r="Q29" s="12">
        <v>4508846.9553854614</v>
      </c>
    </row>
    <row r="30" spans="1:17">
      <c r="A30" s="8" t="s">
        <v>32</v>
      </c>
      <c r="B30" s="8" t="s">
        <v>33</v>
      </c>
      <c r="C30" s="3" t="s">
        <v>28</v>
      </c>
      <c r="D30" s="4" t="s">
        <v>20</v>
      </c>
      <c r="E30" s="12">
        <v>237412.90151906182</v>
      </c>
      <c r="F30" s="12">
        <v>247936.37428187381</v>
      </c>
      <c r="G30" s="12">
        <v>236854.50427168433</v>
      </c>
      <c r="H30" s="12">
        <v>203786.13282614085</v>
      </c>
      <c r="I30" s="12">
        <v>231554.27656044115</v>
      </c>
      <c r="J30" s="12">
        <v>219737.55644436349</v>
      </c>
      <c r="K30" s="12">
        <v>246249.48565847092</v>
      </c>
      <c r="L30" s="12">
        <v>267665.19168883876</v>
      </c>
      <c r="M30" s="12">
        <v>271475.11216452974</v>
      </c>
      <c r="N30" s="12">
        <v>214637.48312207026</v>
      </c>
      <c r="O30" s="12">
        <v>162931.07073353644</v>
      </c>
      <c r="P30" s="12">
        <v>86135.779765209212</v>
      </c>
      <c r="Q30" s="12">
        <v>2626375.8690362182</v>
      </c>
    </row>
    <row r="31" spans="1:17">
      <c r="A31" s="8" t="s">
        <v>32</v>
      </c>
      <c r="B31" s="8" t="s">
        <v>33</v>
      </c>
      <c r="C31" s="3" t="s">
        <v>29</v>
      </c>
      <c r="D31" s="4" t="s">
        <v>20</v>
      </c>
      <c r="E31" s="12">
        <v>301889.75713494577</v>
      </c>
      <c r="F31" s="12">
        <v>333425.07311103027</v>
      </c>
      <c r="G31" s="12">
        <v>781763.35008505138</v>
      </c>
      <c r="H31" s="12">
        <v>431707.8227665443</v>
      </c>
      <c r="I31" s="12">
        <v>245793.86214719302</v>
      </c>
      <c r="J31" s="12">
        <v>236252.44561636943</v>
      </c>
      <c r="K31" s="12">
        <v>75154.433071918873</v>
      </c>
      <c r="L31" s="12">
        <v>-64117.503162476329</v>
      </c>
      <c r="M31" s="12">
        <v>-312348.80603295215</v>
      </c>
      <c r="N31" s="12">
        <v>-156608.02593211812</v>
      </c>
      <c r="O31" s="12">
        <v>-77610.250502579438</v>
      </c>
      <c r="P31" s="12">
        <v>87168.928046314773</v>
      </c>
      <c r="Q31" s="12">
        <v>1882471.0863492433</v>
      </c>
    </row>
    <row r="32" spans="1:17">
      <c r="A32" s="8" t="s">
        <v>34</v>
      </c>
      <c r="B32" s="8" t="s">
        <v>35</v>
      </c>
      <c r="C32" s="3" t="s">
        <v>19</v>
      </c>
      <c r="D32" s="4" t="s">
        <v>20</v>
      </c>
      <c r="E32" s="12">
        <v>4154735.3421876812</v>
      </c>
      <c r="F32" s="12">
        <v>4503197.8958434043</v>
      </c>
      <c r="G32" s="12">
        <v>4601036.0665328316</v>
      </c>
      <c r="H32" s="12">
        <v>4212463.1768348459</v>
      </c>
      <c r="I32" s="12">
        <v>4954741.4874493098</v>
      </c>
      <c r="J32" s="12">
        <v>4578687.6468459042</v>
      </c>
      <c r="K32" s="12">
        <v>5111904.6088516274</v>
      </c>
      <c r="L32" s="12">
        <v>4279690.1245412892</v>
      </c>
      <c r="M32" s="12">
        <v>4484712.2531709038</v>
      </c>
      <c r="N32" s="12">
        <v>3525158.7571221627</v>
      </c>
      <c r="O32" s="12">
        <v>2970023.8966168175</v>
      </c>
      <c r="P32" s="12">
        <v>2954282.6111895903</v>
      </c>
      <c r="Q32" s="12">
        <v>50330633.867186442</v>
      </c>
    </row>
    <row r="33" spans="1:17">
      <c r="A33" s="8" t="s">
        <v>34</v>
      </c>
      <c r="B33" s="8" t="s">
        <v>35</v>
      </c>
      <c r="C33" s="3" t="s">
        <v>21</v>
      </c>
      <c r="D33" s="4" t="s">
        <v>20</v>
      </c>
      <c r="E33" s="12">
        <v>104957.23118254023</v>
      </c>
      <c r="F33" s="12">
        <v>117333.65094747979</v>
      </c>
      <c r="G33" s="12">
        <v>109024.25597374064</v>
      </c>
      <c r="H33" s="12">
        <v>159093.92785534094</v>
      </c>
      <c r="I33" s="12">
        <v>114366.69459170793</v>
      </c>
      <c r="J33" s="12">
        <v>73273.832179296296</v>
      </c>
      <c r="K33" s="12">
        <v>154244.50946166285</v>
      </c>
      <c r="L33" s="12">
        <v>141694.25745810213</v>
      </c>
      <c r="M33" s="12">
        <v>141747.69496227411</v>
      </c>
      <c r="N33" s="12">
        <v>83764.289980984584</v>
      </c>
      <c r="O33" s="12">
        <v>106087.78779283252</v>
      </c>
      <c r="P33" s="12">
        <v>84020.33579684516</v>
      </c>
      <c r="Q33" s="12">
        <v>1389608.4681828073</v>
      </c>
    </row>
    <row r="34" spans="1:17">
      <c r="A34" s="8" t="s">
        <v>34</v>
      </c>
      <c r="B34" s="8" t="s">
        <v>35</v>
      </c>
      <c r="C34" s="3" t="s">
        <v>22</v>
      </c>
      <c r="D34" s="4" t="s">
        <v>20</v>
      </c>
      <c r="E34" s="12">
        <v>2557882.3376525971</v>
      </c>
      <c r="F34" s="12">
        <v>2771183.3881251602</v>
      </c>
      <c r="G34" s="12">
        <v>2936706.8596848883</v>
      </c>
      <c r="H34" s="12">
        <v>2707735.373872397</v>
      </c>
      <c r="I34" s="12">
        <v>3171940.1926650228</v>
      </c>
      <c r="J34" s="12">
        <v>3029673.966641285</v>
      </c>
      <c r="K34" s="12">
        <v>3304691.1582206264</v>
      </c>
      <c r="L34" s="12">
        <v>2765185.4236748004</v>
      </c>
      <c r="M34" s="12">
        <v>2943249.6363157406</v>
      </c>
      <c r="N34" s="12">
        <v>2277350.108794407</v>
      </c>
      <c r="O34" s="12">
        <v>2006546.4180626713</v>
      </c>
      <c r="P34" s="12">
        <v>2072206.1886379495</v>
      </c>
      <c r="Q34" s="12">
        <v>32544351.052347589</v>
      </c>
    </row>
    <row r="35" spans="1:17">
      <c r="A35" s="8" t="s">
        <v>34</v>
      </c>
      <c r="B35" s="8" t="s">
        <v>35</v>
      </c>
      <c r="C35" s="3" t="s">
        <v>23</v>
      </c>
      <c r="D35" s="4" t="s">
        <v>20</v>
      </c>
      <c r="E35" s="12">
        <v>1491895.7733525406</v>
      </c>
      <c r="F35" s="12">
        <v>1614680.8567707592</v>
      </c>
      <c r="G35" s="12">
        <v>1555304.9508741957</v>
      </c>
      <c r="H35" s="12">
        <v>1345633.8751071028</v>
      </c>
      <c r="I35" s="12">
        <v>1668434.6001925701</v>
      </c>
      <c r="J35" s="12">
        <v>1475739.8480253122</v>
      </c>
      <c r="K35" s="12">
        <v>1652968.941169346</v>
      </c>
      <c r="L35" s="12">
        <v>1372810.4434083998</v>
      </c>
      <c r="M35" s="12">
        <v>1399714.9218928884</v>
      </c>
      <c r="N35" s="12">
        <v>1164044.3583467605</v>
      </c>
      <c r="O35" s="12">
        <v>857389.69076130935</v>
      </c>
      <c r="P35" s="12">
        <v>798056.08675480168</v>
      </c>
      <c r="Q35" s="12">
        <v>16396674.346655985</v>
      </c>
    </row>
    <row r="36" spans="1:17">
      <c r="A36" s="8" t="s">
        <v>34</v>
      </c>
      <c r="B36" s="8" t="s">
        <v>35</v>
      </c>
      <c r="C36" s="3" t="s">
        <v>24</v>
      </c>
      <c r="D36" s="4" t="s">
        <v>20</v>
      </c>
      <c r="E36" s="12">
        <v>576640.3780845243</v>
      </c>
      <c r="F36" s="12">
        <v>741400.63684327493</v>
      </c>
      <c r="G36" s="12">
        <v>665982.03314041055</v>
      </c>
      <c r="H36" s="12">
        <v>575253.62154925638</v>
      </c>
      <c r="I36" s="12">
        <v>725867.71066940599</v>
      </c>
      <c r="J36" s="12">
        <v>687176.12090961263</v>
      </c>
      <c r="K36" s="12">
        <v>719061.46499438665</v>
      </c>
      <c r="L36" s="12">
        <v>579644.53316536709</v>
      </c>
      <c r="M36" s="12">
        <v>594075.58234150987</v>
      </c>
      <c r="N36" s="12">
        <v>506604.35293435556</v>
      </c>
      <c r="O36" s="12">
        <v>349640.61355573655</v>
      </c>
      <c r="P36" s="12">
        <v>339125.41537454096</v>
      </c>
      <c r="Q36" s="12">
        <v>7060472.4635623721</v>
      </c>
    </row>
    <row r="37" spans="1:17">
      <c r="A37" s="8" t="s">
        <v>34</v>
      </c>
      <c r="B37" s="8" t="s">
        <v>35</v>
      </c>
      <c r="C37" s="3" t="s">
        <v>25</v>
      </c>
      <c r="D37" s="4" t="s">
        <v>20</v>
      </c>
      <c r="E37" s="12">
        <v>915255.39526801626</v>
      </c>
      <c r="F37" s="12">
        <v>873280.2199274844</v>
      </c>
      <c r="G37" s="12">
        <v>889322.91773378511</v>
      </c>
      <c r="H37" s="12">
        <v>770380.25355784642</v>
      </c>
      <c r="I37" s="12">
        <v>942566.88952316646</v>
      </c>
      <c r="J37" s="12">
        <v>788563.72711569979</v>
      </c>
      <c r="K37" s="12">
        <v>933907.47617495921</v>
      </c>
      <c r="L37" s="12">
        <v>793165.91024303471</v>
      </c>
      <c r="M37" s="12">
        <v>805639.33955137862</v>
      </c>
      <c r="N37" s="12">
        <v>657440.00541240512</v>
      </c>
      <c r="O37" s="12">
        <v>507749.07720557286</v>
      </c>
      <c r="P37" s="12">
        <v>458930.67138026078</v>
      </c>
      <c r="Q37" s="12">
        <v>9336201.8830936123</v>
      </c>
    </row>
    <row r="38" spans="1:17">
      <c r="A38" s="8" t="s">
        <v>34</v>
      </c>
      <c r="B38" s="8" t="s">
        <v>35</v>
      </c>
      <c r="C38" s="3" t="s">
        <v>26</v>
      </c>
      <c r="D38" s="4" t="s">
        <v>20</v>
      </c>
      <c r="E38" s="12">
        <v>32202.932034309255</v>
      </c>
      <c r="F38" s="12">
        <v>-241251.88920857082</v>
      </c>
      <c r="G38" s="12">
        <v>-86741.154587608879</v>
      </c>
      <c r="H38" s="12">
        <v>-224374.6955086377</v>
      </c>
      <c r="I38" s="12">
        <v>-208059.63207754912</v>
      </c>
      <c r="J38" s="12">
        <v>-330998.30321664119</v>
      </c>
      <c r="K38" s="12">
        <v>-396927.35170656384</v>
      </c>
      <c r="L38" s="12">
        <v>-530294.61408939864</v>
      </c>
      <c r="M38" s="12">
        <v>-155265.02753965778</v>
      </c>
      <c r="N38" s="12">
        <v>-735806.31823881634</v>
      </c>
      <c r="O38" s="12">
        <v>-453387.34059512196</v>
      </c>
      <c r="P38" s="12">
        <v>-527881.40429836023</v>
      </c>
      <c r="Q38" s="12">
        <v>-3858784.7990326108</v>
      </c>
    </row>
    <row r="39" spans="1:17">
      <c r="A39" s="8" t="s">
        <v>34</v>
      </c>
      <c r="B39" s="8" t="s">
        <v>35</v>
      </c>
      <c r="C39" s="3" t="s">
        <v>27</v>
      </c>
      <c r="D39" s="4" t="s">
        <v>20</v>
      </c>
      <c r="E39" s="12">
        <v>947458.32730232552</v>
      </c>
      <c r="F39" s="12">
        <v>632028.33071891358</v>
      </c>
      <c r="G39" s="12">
        <v>802581.76314617624</v>
      </c>
      <c r="H39" s="12">
        <v>546005.55804920872</v>
      </c>
      <c r="I39" s="12">
        <v>734507.25744561735</v>
      </c>
      <c r="J39" s="12">
        <v>457565.4238990586</v>
      </c>
      <c r="K39" s="12">
        <v>536980.12446839537</v>
      </c>
      <c r="L39" s="12">
        <v>262871.29615363613</v>
      </c>
      <c r="M39" s="12">
        <v>650374.31201172085</v>
      </c>
      <c r="N39" s="12">
        <v>-78366.312826411246</v>
      </c>
      <c r="O39" s="12">
        <v>54361.736610450913</v>
      </c>
      <c r="P39" s="12">
        <v>-68950.732918099471</v>
      </c>
      <c r="Q39" s="12">
        <v>5477417.0840610014</v>
      </c>
    </row>
    <row r="40" spans="1:17">
      <c r="A40" s="8" t="s">
        <v>34</v>
      </c>
      <c r="B40" s="8" t="s">
        <v>35</v>
      </c>
      <c r="C40" s="3" t="s">
        <v>28</v>
      </c>
      <c r="D40" s="4" t="s">
        <v>20</v>
      </c>
      <c r="E40" s="12">
        <v>270738.03507998516</v>
      </c>
      <c r="F40" s="12">
        <v>343426.98811226501</v>
      </c>
      <c r="G40" s="12">
        <v>417384.43822135444</v>
      </c>
      <c r="H40" s="12">
        <v>60957.729511213256</v>
      </c>
      <c r="I40" s="12">
        <v>268704.78601606691</v>
      </c>
      <c r="J40" s="12">
        <v>355123.10079782561</v>
      </c>
      <c r="K40" s="12">
        <v>357924.86790706438</v>
      </c>
      <c r="L40" s="12">
        <v>343584.49097208859</v>
      </c>
      <c r="M40" s="12">
        <v>260140.78876277682</v>
      </c>
      <c r="N40" s="12">
        <v>328640.24482290202</v>
      </c>
      <c r="O40" s="12">
        <v>378508.30256636458</v>
      </c>
      <c r="P40" s="12">
        <v>216946.47373472984</v>
      </c>
      <c r="Q40" s="12">
        <v>3602080.2465046453</v>
      </c>
    </row>
    <row r="41" spans="1:17">
      <c r="A41" s="8" t="s">
        <v>34</v>
      </c>
      <c r="B41" s="8" t="s">
        <v>35</v>
      </c>
      <c r="C41" s="3" t="s">
        <v>29</v>
      </c>
      <c r="D41" s="4" t="s">
        <v>20</v>
      </c>
      <c r="E41" s="12">
        <v>676720.29222234036</v>
      </c>
      <c r="F41" s="12">
        <v>288601.34260664857</v>
      </c>
      <c r="G41" s="12">
        <v>385197.32492482179</v>
      </c>
      <c r="H41" s="12">
        <v>485047.82853799546</v>
      </c>
      <c r="I41" s="12">
        <v>465802.47142955044</v>
      </c>
      <c r="J41" s="12">
        <v>102442.32310123301</v>
      </c>
      <c r="K41" s="12">
        <v>179055.25656133101</v>
      </c>
      <c r="L41" s="12">
        <v>-80713.194818452452</v>
      </c>
      <c r="M41" s="12">
        <v>390233.52324894402</v>
      </c>
      <c r="N41" s="12">
        <v>-407006.55764931324</v>
      </c>
      <c r="O41" s="12">
        <v>-324146.56595591368</v>
      </c>
      <c r="P41" s="12">
        <v>-285897.20665282931</v>
      </c>
      <c r="Q41" s="12">
        <v>1875336.8375563561</v>
      </c>
    </row>
    <row r="42" spans="1:17">
      <c r="A42" s="8" t="s">
        <v>36</v>
      </c>
      <c r="B42" s="8" t="s">
        <v>37</v>
      </c>
      <c r="C42" s="3" t="s">
        <v>19</v>
      </c>
      <c r="D42" s="4" t="s">
        <v>20</v>
      </c>
      <c r="E42" s="12">
        <v>2724831.1625435883</v>
      </c>
      <c r="F42" s="12">
        <v>2348783.8100599106</v>
      </c>
      <c r="G42" s="12">
        <v>2494951.2879185509</v>
      </c>
      <c r="H42" s="12">
        <v>2177403.9832517384</v>
      </c>
      <c r="I42" s="12">
        <v>2401028.0013644132</v>
      </c>
      <c r="J42" s="12">
        <v>2674516.3473596899</v>
      </c>
      <c r="K42" s="12">
        <v>2700025.4132552771</v>
      </c>
      <c r="L42" s="12">
        <v>2535945.0234077387</v>
      </c>
      <c r="M42" s="12">
        <v>2953778.5045163846</v>
      </c>
      <c r="N42" s="12">
        <v>2556721.7761647892</v>
      </c>
      <c r="O42" s="12">
        <v>2546384.2791764634</v>
      </c>
      <c r="P42" s="12">
        <v>2062914.7334677507</v>
      </c>
      <c r="Q42" s="12">
        <v>30177284.322486401</v>
      </c>
    </row>
    <row r="43" spans="1:17">
      <c r="A43" s="8" t="s">
        <v>36</v>
      </c>
      <c r="B43" s="8" t="s">
        <v>37</v>
      </c>
      <c r="C43" s="3" t="s">
        <v>21</v>
      </c>
      <c r="D43" s="4" t="s">
        <v>20</v>
      </c>
      <c r="E43" s="12">
        <v>45567.852480531539</v>
      </c>
      <c r="F43" s="12">
        <v>40988.307626529175</v>
      </c>
      <c r="G43" s="12">
        <v>59945.98711822425</v>
      </c>
      <c r="H43" s="12">
        <v>43218.402300212059</v>
      </c>
      <c r="I43" s="12">
        <v>40657.362615689432</v>
      </c>
      <c r="J43" s="12">
        <v>53541.325983759642</v>
      </c>
      <c r="K43" s="12">
        <v>55201.353593636457</v>
      </c>
      <c r="L43" s="12">
        <v>61182.402263479984</v>
      </c>
      <c r="M43" s="12">
        <v>45871.655331789683</v>
      </c>
      <c r="N43" s="12">
        <v>63567.077925893325</v>
      </c>
      <c r="O43" s="12">
        <v>49887.819391671059</v>
      </c>
      <c r="P43" s="12">
        <v>38904.259787329371</v>
      </c>
      <c r="Q43" s="12">
        <v>598533.80641874555</v>
      </c>
    </row>
    <row r="44" spans="1:17">
      <c r="A44" s="8" t="s">
        <v>36</v>
      </c>
      <c r="B44" s="8" t="s">
        <v>37</v>
      </c>
      <c r="C44" s="3" t="s">
        <v>22</v>
      </c>
      <c r="D44" s="4" t="s">
        <v>20</v>
      </c>
      <c r="E44" s="12">
        <v>1290870.6005604025</v>
      </c>
      <c r="F44" s="12">
        <v>1182887.7502554024</v>
      </c>
      <c r="G44" s="12">
        <v>1269897.9433276809</v>
      </c>
      <c r="H44" s="12">
        <v>1184252.8015082793</v>
      </c>
      <c r="I44" s="12">
        <v>1257329.4808485019</v>
      </c>
      <c r="J44" s="12">
        <v>1549287.4668096045</v>
      </c>
      <c r="K44" s="12">
        <v>1506806.4497626256</v>
      </c>
      <c r="L44" s="12">
        <v>1349769.7573909957</v>
      </c>
      <c r="M44" s="12">
        <v>1740431.2664564312</v>
      </c>
      <c r="N44" s="12">
        <v>1521776.1965485706</v>
      </c>
      <c r="O44" s="12">
        <v>1405701.7188304279</v>
      </c>
      <c r="P44" s="12">
        <v>1213495.8667445953</v>
      </c>
      <c r="Q44" s="12">
        <v>16472507.299043525</v>
      </c>
    </row>
    <row r="45" spans="1:17">
      <c r="A45" s="8" t="s">
        <v>36</v>
      </c>
      <c r="B45" s="8" t="s">
        <v>37</v>
      </c>
      <c r="C45" s="3" t="s">
        <v>23</v>
      </c>
      <c r="D45" s="4" t="s">
        <v>20</v>
      </c>
      <c r="E45" s="12">
        <v>1388392.7095026521</v>
      </c>
      <c r="F45" s="12">
        <v>1124907.7521779875</v>
      </c>
      <c r="G45" s="12">
        <v>1165107.3574726386</v>
      </c>
      <c r="H45" s="12">
        <v>949932.77944324783</v>
      </c>
      <c r="I45" s="12">
        <v>1103041.1579002135</v>
      </c>
      <c r="J45" s="12">
        <v>1071687.5545663217</v>
      </c>
      <c r="K45" s="12">
        <v>1138017.6098990063</v>
      </c>
      <c r="L45" s="12">
        <v>1124992.8637532692</v>
      </c>
      <c r="M45" s="12">
        <v>1167475.5827281708</v>
      </c>
      <c r="N45" s="12">
        <v>971378.50169033685</v>
      </c>
      <c r="O45" s="12">
        <v>1090794.7409543716</v>
      </c>
      <c r="P45" s="12">
        <v>810514.6069358238</v>
      </c>
      <c r="Q45" s="12">
        <v>13106243.217024045</v>
      </c>
    </row>
    <row r="46" spans="1:17">
      <c r="A46" s="8" t="s">
        <v>36</v>
      </c>
      <c r="B46" s="8" t="s">
        <v>37</v>
      </c>
      <c r="C46" s="3" t="s">
        <v>24</v>
      </c>
      <c r="D46" s="4" t="s">
        <v>20</v>
      </c>
      <c r="E46" s="12">
        <v>690170.04775272321</v>
      </c>
      <c r="F46" s="12">
        <v>602685.45868645422</v>
      </c>
      <c r="G46" s="12">
        <v>477303.08448600338</v>
      </c>
      <c r="H46" s="12">
        <v>388965.2538846953</v>
      </c>
      <c r="I46" s="12">
        <v>486820.10012302594</v>
      </c>
      <c r="J46" s="12">
        <v>464115.34784755652</v>
      </c>
      <c r="K46" s="12">
        <v>474844.75962082099</v>
      </c>
      <c r="L46" s="12">
        <v>456029.4658405435</v>
      </c>
      <c r="M46" s="12">
        <v>485247.48197659478</v>
      </c>
      <c r="N46" s="12">
        <v>453843.00433709414</v>
      </c>
      <c r="O46" s="12">
        <v>484618.98589001258</v>
      </c>
      <c r="P46" s="12">
        <v>368969.90754065319</v>
      </c>
      <c r="Q46" s="12">
        <v>5833612.8979861848</v>
      </c>
    </row>
    <row r="47" spans="1:17">
      <c r="A47" s="8" t="s">
        <v>36</v>
      </c>
      <c r="B47" s="8" t="s">
        <v>37</v>
      </c>
      <c r="C47" s="3" t="s">
        <v>25</v>
      </c>
      <c r="D47" s="4" t="s">
        <v>20</v>
      </c>
      <c r="E47" s="12">
        <v>698222.66174992884</v>
      </c>
      <c r="F47" s="12">
        <v>522222.29349153332</v>
      </c>
      <c r="G47" s="12">
        <v>687804.27298663533</v>
      </c>
      <c r="H47" s="12">
        <v>560967.52555855247</v>
      </c>
      <c r="I47" s="12">
        <v>616221.05777718744</v>
      </c>
      <c r="J47" s="12">
        <v>607572.20671876508</v>
      </c>
      <c r="K47" s="12">
        <v>663172.85027818533</v>
      </c>
      <c r="L47" s="12">
        <v>668963.39791272569</v>
      </c>
      <c r="M47" s="12">
        <v>682228.10075157601</v>
      </c>
      <c r="N47" s="12">
        <v>517535.49735324271</v>
      </c>
      <c r="O47" s="12">
        <v>606175.75506435905</v>
      </c>
      <c r="P47" s="12">
        <v>441544.69939517061</v>
      </c>
      <c r="Q47" s="12">
        <v>7272630.3190378593</v>
      </c>
    </row>
    <row r="48" spans="1:17">
      <c r="A48" s="8" t="s">
        <v>36</v>
      </c>
      <c r="B48" s="8" t="s">
        <v>37</v>
      </c>
      <c r="C48" s="3" t="s">
        <v>26</v>
      </c>
      <c r="D48" s="4" t="s">
        <v>20</v>
      </c>
      <c r="E48" s="12">
        <v>-136460.33161318477</v>
      </c>
      <c r="F48" s="12">
        <v>-44451.347741130856</v>
      </c>
      <c r="G48" s="12">
        <v>99579.753972164704</v>
      </c>
      <c r="H48" s="12">
        <v>-172800.9246679662</v>
      </c>
      <c r="I48" s="12">
        <v>-104879.71210348303</v>
      </c>
      <c r="J48" s="12">
        <v>378469.92976649641</v>
      </c>
      <c r="K48" s="12">
        <v>-26772.708445852506</v>
      </c>
      <c r="L48" s="12">
        <v>-57426.664577200077</v>
      </c>
      <c r="M48" s="12">
        <v>-328930.6494326368</v>
      </c>
      <c r="N48" s="12">
        <v>44575.140949298628</v>
      </c>
      <c r="O48" s="12">
        <v>-40881.470968098496</v>
      </c>
      <c r="P48" s="12">
        <v>251096.48789198889</v>
      </c>
      <c r="Q48" s="12">
        <v>-138882.49696959276</v>
      </c>
    </row>
    <row r="49" spans="1:17">
      <c r="A49" s="8" t="s">
        <v>36</v>
      </c>
      <c r="B49" s="8" t="s">
        <v>37</v>
      </c>
      <c r="C49" s="3" t="s">
        <v>27</v>
      </c>
      <c r="D49" s="4" t="s">
        <v>20</v>
      </c>
      <c r="E49" s="12">
        <v>561762.33013674407</v>
      </c>
      <c r="F49" s="12">
        <v>477770.94575040246</v>
      </c>
      <c r="G49" s="12">
        <v>787384.02695880004</v>
      </c>
      <c r="H49" s="12">
        <v>388166.60089058627</v>
      </c>
      <c r="I49" s="12">
        <v>511341.3456737044</v>
      </c>
      <c r="J49" s="12">
        <v>986042.13648526149</v>
      </c>
      <c r="K49" s="12">
        <v>636400.14183233283</v>
      </c>
      <c r="L49" s="12">
        <v>611536.73333552561</v>
      </c>
      <c r="M49" s="12">
        <v>353297.45131893922</v>
      </c>
      <c r="N49" s="12">
        <v>562110.63830254134</v>
      </c>
      <c r="O49" s="12">
        <v>565294.28409626056</v>
      </c>
      <c r="P49" s="12">
        <v>692641.1872871595</v>
      </c>
      <c r="Q49" s="12">
        <v>7133747.8220682666</v>
      </c>
    </row>
    <row r="50" spans="1:17">
      <c r="A50" s="8" t="s">
        <v>36</v>
      </c>
      <c r="B50" s="8" t="s">
        <v>37</v>
      </c>
      <c r="C50" s="3" t="s">
        <v>28</v>
      </c>
      <c r="D50" s="4" t="s">
        <v>20</v>
      </c>
      <c r="E50" s="12">
        <v>176146.45732727065</v>
      </c>
      <c r="F50" s="12">
        <v>173086.92733451771</v>
      </c>
      <c r="G50" s="12">
        <v>166676.43301038595</v>
      </c>
      <c r="H50" s="12">
        <v>184459.9896408676</v>
      </c>
      <c r="I50" s="12">
        <v>174705.93215827027</v>
      </c>
      <c r="J50" s="12">
        <v>150827.7156931865</v>
      </c>
      <c r="K50" s="12">
        <v>204989.43615161435</v>
      </c>
      <c r="L50" s="12">
        <v>166134.53418006486</v>
      </c>
      <c r="M50" s="12">
        <v>221191.23187898868</v>
      </c>
      <c r="N50" s="12">
        <v>197434.70381753461</v>
      </c>
      <c r="O50" s="12">
        <v>190437.67910246027</v>
      </c>
      <c r="P50" s="12">
        <v>194384.76793761679</v>
      </c>
      <c r="Q50" s="12">
        <v>2200475.8082327833</v>
      </c>
    </row>
    <row r="51" spans="1:17">
      <c r="A51" s="8" t="s">
        <v>36</v>
      </c>
      <c r="B51" s="8" t="s">
        <v>37</v>
      </c>
      <c r="C51" s="3" t="s">
        <v>29</v>
      </c>
      <c r="D51" s="4" t="s">
        <v>20</v>
      </c>
      <c r="E51" s="12">
        <v>385615.87280947343</v>
      </c>
      <c r="F51" s="12">
        <v>304684.01841588476</v>
      </c>
      <c r="G51" s="12">
        <v>620707.59394841408</v>
      </c>
      <c r="H51" s="12">
        <v>203706.61124971867</v>
      </c>
      <c r="I51" s="12">
        <v>336635.41351543413</v>
      </c>
      <c r="J51" s="12">
        <v>835214.42079207499</v>
      </c>
      <c r="K51" s="12">
        <v>431410.70568071847</v>
      </c>
      <c r="L51" s="12">
        <v>445402.19915546075</v>
      </c>
      <c r="M51" s="12">
        <v>132106.21943995054</v>
      </c>
      <c r="N51" s="12">
        <v>364675.93448500673</v>
      </c>
      <c r="O51" s="12">
        <v>374856.60499380028</v>
      </c>
      <c r="P51" s="12">
        <v>498256.4193495427</v>
      </c>
      <c r="Q51" s="12">
        <v>4933272.0138354832</v>
      </c>
    </row>
    <row r="52" spans="1:17">
      <c r="A52" s="7" t="s">
        <v>38</v>
      </c>
      <c r="B52" s="7" t="s">
        <v>39</v>
      </c>
      <c r="C52" s="3" t="s">
        <v>19</v>
      </c>
      <c r="D52" s="4" t="s">
        <v>20</v>
      </c>
      <c r="E52" s="12">
        <v>1480993.4905549302</v>
      </c>
      <c r="F52" s="12">
        <v>1396127.8518422435</v>
      </c>
      <c r="G52" s="12">
        <v>1653510.1991814582</v>
      </c>
      <c r="H52" s="12">
        <v>1425420.2771502291</v>
      </c>
      <c r="I52" s="12">
        <v>1572528.3362290785</v>
      </c>
      <c r="J52" s="12">
        <v>1570613.2870660194</v>
      </c>
      <c r="K52" s="12">
        <v>1568560.9165067598</v>
      </c>
      <c r="L52" s="12">
        <v>1381236.1518008872</v>
      </c>
      <c r="M52" s="12">
        <v>1432039.3802980545</v>
      </c>
      <c r="N52" s="12">
        <v>1208352.8906659689</v>
      </c>
      <c r="O52" s="12">
        <v>1245394.4308130268</v>
      </c>
      <c r="P52" s="12">
        <v>1059059.7756984388</v>
      </c>
      <c r="Q52" s="12">
        <v>16993836.987807114</v>
      </c>
    </row>
    <row r="53" spans="1:17">
      <c r="A53" s="7" t="s">
        <v>38</v>
      </c>
      <c r="B53" s="7" t="s">
        <v>39</v>
      </c>
      <c r="C53" s="3" t="s">
        <v>21</v>
      </c>
      <c r="D53" s="4" t="s">
        <v>20</v>
      </c>
      <c r="E53" s="12">
        <v>33796.318438194488</v>
      </c>
      <c r="F53" s="12">
        <v>33627.606854515892</v>
      </c>
      <c r="G53" s="12">
        <v>37787.322113453723</v>
      </c>
      <c r="H53" s="12">
        <v>35667.585667907697</v>
      </c>
      <c r="I53" s="12">
        <v>35404.763152864434</v>
      </c>
      <c r="J53" s="12">
        <v>31908.09695732961</v>
      </c>
      <c r="K53" s="12">
        <v>39592.390693183414</v>
      </c>
      <c r="L53" s="12">
        <v>34898.594722051515</v>
      </c>
      <c r="M53" s="12">
        <v>32716.458908458339</v>
      </c>
      <c r="N53" s="12">
        <v>28185.932292351226</v>
      </c>
      <c r="O53" s="12">
        <v>29371.091648654477</v>
      </c>
      <c r="P53" s="12">
        <v>22625.382833405321</v>
      </c>
      <c r="Q53" s="12">
        <v>395581.54428237036</v>
      </c>
    </row>
    <row r="54" spans="1:17">
      <c r="A54" s="7" t="s">
        <v>38</v>
      </c>
      <c r="B54" s="7" t="s">
        <v>39</v>
      </c>
      <c r="C54" s="3" t="s">
        <v>22</v>
      </c>
      <c r="D54" s="4" t="s">
        <v>20</v>
      </c>
      <c r="E54" s="12">
        <v>906310.53710898943</v>
      </c>
      <c r="F54" s="12">
        <v>861995.98650501878</v>
      </c>
      <c r="G54" s="12">
        <v>1055432.0927677087</v>
      </c>
      <c r="H54" s="12">
        <v>946044.0424585396</v>
      </c>
      <c r="I54" s="12">
        <v>1014705.3198159471</v>
      </c>
      <c r="J54" s="12">
        <v>1057444.4580289216</v>
      </c>
      <c r="K54" s="12">
        <v>1048894.7525071348</v>
      </c>
      <c r="L54" s="12">
        <v>910473.91116914176</v>
      </c>
      <c r="M54" s="12">
        <v>953321.49806351901</v>
      </c>
      <c r="N54" s="12">
        <v>761392.17279221758</v>
      </c>
      <c r="O54" s="12">
        <v>797753.97567281686</v>
      </c>
      <c r="P54" s="12">
        <v>734656.71095754474</v>
      </c>
      <c r="Q54" s="12">
        <v>11048425.457847517</v>
      </c>
    </row>
    <row r="55" spans="1:17">
      <c r="A55" s="7" t="s">
        <v>38</v>
      </c>
      <c r="B55" s="7" t="s">
        <v>39</v>
      </c>
      <c r="C55" s="3" t="s">
        <v>23</v>
      </c>
      <c r="D55" s="4" t="s">
        <v>20</v>
      </c>
      <c r="E55" s="12">
        <v>540886.63500774407</v>
      </c>
      <c r="F55" s="12">
        <v>500504.25848270708</v>
      </c>
      <c r="G55" s="12">
        <v>560290.78430029238</v>
      </c>
      <c r="H55" s="12">
        <v>443708.64902378328</v>
      </c>
      <c r="I55" s="12">
        <v>522418.25326026359</v>
      </c>
      <c r="J55" s="12">
        <v>481260.73207976704</v>
      </c>
      <c r="K55" s="12">
        <v>480073.77330644208</v>
      </c>
      <c r="L55" s="12">
        <v>435863.645909696</v>
      </c>
      <c r="M55" s="12">
        <v>446001.42332607711</v>
      </c>
      <c r="N55" s="12">
        <v>418774.78558139969</v>
      </c>
      <c r="O55" s="12">
        <v>418269.3634915544</v>
      </c>
      <c r="P55" s="12">
        <v>301777.68190748896</v>
      </c>
      <c r="Q55" s="12">
        <v>5549829.9856772171</v>
      </c>
    </row>
    <row r="56" spans="1:17">
      <c r="A56" s="7" t="s">
        <v>38</v>
      </c>
      <c r="B56" s="7" t="s">
        <v>39</v>
      </c>
      <c r="C56" s="3" t="s">
        <v>24</v>
      </c>
      <c r="D56" s="4" t="s">
        <v>20</v>
      </c>
      <c r="E56" s="12">
        <v>194256.28398572723</v>
      </c>
      <c r="F56" s="12">
        <v>195267.68035036646</v>
      </c>
      <c r="G56" s="12">
        <v>193284.95459645853</v>
      </c>
      <c r="H56" s="12">
        <v>159319.32392882311</v>
      </c>
      <c r="I56" s="12">
        <v>183881.78760380685</v>
      </c>
      <c r="J56" s="12">
        <v>172544.8113329873</v>
      </c>
      <c r="K56" s="12">
        <v>170189.17936603446</v>
      </c>
      <c r="L56" s="12">
        <v>145161.25899817352</v>
      </c>
      <c r="M56" s="12">
        <v>161529.41466977441</v>
      </c>
      <c r="N56" s="12">
        <v>143646.54198216222</v>
      </c>
      <c r="O56" s="12">
        <v>139461.33572119786</v>
      </c>
      <c r="P56" s="12">
        <v>110630.71203399608</v>
      </c>
      <c r="Q56" s="12">
        <v>1969173.2845695093</v>
      </c>
    </row>
    <row r="57" spans="1:17">
      <c r="A57" s="7" t="s">
        <v>38</v>
      </c>
      <c r="B57" s="7" t="s">
        <v>39</v>
      </c>
      <c r="C57" s="3" t="s">
        <v>25</v>
      </c>
      <c r="D57" s="4" t="s">
        <v>20</v>
      </c>
      <c r="E57" s="12">
        <v>346630.35102201684</v>
      </c>
      <c r="F57" s="12">
        <v>305236.57813234074</v>
      </c>
      <c r="G57" s="12">
        <v>367005.82970383391</v>
      </c>
      <c r="H57" s="12">
        <v>284389.32509496016</v>
      </c>
      <c r="I57" s="12">
        <v>338536.465656457</v>
      </c>
      <c r="J57" s="12">
        <v>308715.92074677983</v>
      </c>
      <c r="K57" s="12">
        <v>309884.59394040756</v>
      </c>
      <c r="L57" s="12">
        <v>290702.38691152271</v>
      </c>
      <c r="M57" s="12">
        <v>284472.00865630264</v>
      </c>
      <c r="N57" s="12">
        <v>275128.24359923752</v>
      </c>
      <c r="O57" s="12">
        <v>278808.02777035657</v>
      </c>
      <c r="P57" s="12">
        <v>191146.96987349313</v>
      </c>
      <c r="Q57" s="12">
        <v>3580656.7011077078</v>
      </c>
    </row>
    <row r="58" spans="1:17">
      <c r="A58" s="7" t="s">
        <v>38</v>
      </c>
      <c r="B58" s="7" t="s">
        <v>39</v>
      </c>
      <c r="C58" s="3" t="s">
        <v>26</v>
      </c>
      <c r="D58" s="4" t="s">
        <v>20</v>
      </c>
      <c r="E58" s="12">
        <v>-55639.339033458149</v>
      </c>
      <c r="F58" s="12">
        <v>-44520.877446603874</v>
      </c>
      <c r="G58" s="12">
        <v>-9069.6733116139658</v>
      </c>
      <c r="H58" s="12">
        <v>-79569.054156993108</v>
      </c>
      <c r="I58" s="12">
        <v>-76560.166290396999</v>
      </c>
      <c r="J58" s="12">
        <v>-20764.18197592377</v>
      </c>
      <c r="K58" s="12">
        <v>-91382.022097782843</v>
      </c>
      <c r="L58" s="12">
        <v>-119982.67518878009</v>
      </c>
      <c r="M58" s="12">
        <v>-117888.65471846375</v>
      </c>
      <c r="N58" s="12">
        <v>-163129.77257615415</v>
      </c>
      <c r="O58" s="12">
        <v>-139798.44653535564</v>
      </c>
      <c r="P58" s="12">
        <v>-160835.58609271841</v>
      </c>
      <c r="Q58" s="12">
        <v>-1079140.4494242417</v>
      </c>
    </row>
    <row r="59" spans="1:17">
      <c r="A59" s="7" t="s">
        <v>38</v>
      </c>
      <c r="B59" s="7" t="s">
        <v>39</v>
      </c>
      <c r="C59" s="3" t="s">
        <v>27</v>
      </c>
      <c r="D59" s="4" t="s">
        <v>20</v>
      </c>
      <c r="E59" s="12">
        <v>290991.01198855869</v>
      </c>
      <c r="F59" s="12">
        <v>260715.70068573687</v>
      </c>
      <c r="G59" s="12">
        <v>357936.15639221994</v>
      </c>
      <c r="H59" s="12">
        <v>204820.27093796706</v>
      </c>
      <c r="I59" s="12">
        <v>261976.29936606</v>
      </c>
      <c r="J59" s="12">
        <v>287951.73877085606</v>
      </c>
      <c r="K59" s="12">
        <v>218502.57184262472</v>
      </c>
      <c r="L59" s="12">
        <v>170719.71172274262</v>
      </c>
      <c r="M59" s="12">
        <v>166583.3539378389</v>
      </c>
      <c r="N59" s="12">
        <v>111998.47102308339</v>
      </c>
      <c r="O59" s="12">
        <v>139009.58123500092</v>
      </c>
      <c r="P59" s="12">
        <v>30311.383780774719</v>
      </c>
      <c r="Q59" s="12">
        <v>2501516.2516834661</v>
      </c>
    </row>
    <row r="60" spans="1:17">
      <c r="A60" s="7" t="s">
        <v>38</v>
      </c>
      <c r="B60" s="7" t="s">
        <v>39</v>
      </c>
      <c r="C60" s="3" t="s">
        <v>28</v>
      </c>
      <c r="D60" s="4" t="s">
        <v>20</v>
      </c>
      <c r="E60" s="12">
        <v>95082.424311287439</v>
      </c>
      <c r="F60" s="12">
        <v>105423.94829717089</v>
      </c>
      <c r="G60" s="12">
        <v>124456.34226053581</v>
      </c>
      <c r="H60" s="12">
        <v>56158.642824052047</v>
      </c>
      <c r="I60" s="12">
        <v>105683.82277897338</v>
      </c>
      <c r="J60" s="12">
        <v>99044.008556926623</v>
      </c>
      <c r="K60" s="12">
        <v>110919.07385817006</v>
      </c>
      <c r="L60" s="12">
        <v>104095.42550746942</v>
      </c>
      <c r="M60" s="12">
        <v>109932.14321009256</v>
      </c>
      <c r="N60" s="12">
        <v>100815.0429333504</v>
      </c>
      <c r="O60" s="12">
        <v>102379.53871911348</v>
      </c>
      <c r="P60" s="12">
        <v>99253.725860964536</v>
      </c>
      <c r="Q60" s="12">
        <v>1213244.1391181075</v>
      </c>
    </row>
    <row r="61" spans="1:17">
      <c r="A61" s="7" t="s">
        <v>38</v>
      </c>
      <c r="B61" s="7" t="s">
        <v>39</v>
      </c>
      <c r="C61" s="3" t="s">
        <v>29</v>
      </c>
      <c r="D61" s="4" t="s">
        <v>20</v>
      </c>
      <c r="E61" s="12">
        <v>195908.58767727125</v>
      </c>
      <c r="F61" s="12">
        <v>155291.75238856598</v>
      </c>
      <c r="G61" s="12">
        <v>233479.81413168414</v>
      </c>
      <c r="H61" s="12">
        <v>148661.62811391501</v>
      </c>
      <c r="I61" s="12">
        <v>156292.47658708662</v>
      </c>
      <c r="J61" s="12">
        <v>188907.73021392943</v>
      </c>
      <c r="K61" s="12">
        <v>107583.49798445466</v>
      </c>
      <c r="L61" s="12">
        <v>66624.286215273198</v>
      </c>
      <c r="M61" s="12">
        <v>56651.210727746344</v>
      </c>
      <c r="N61" s="12">
        <v>11183.428089732992</v>
      </c>
      <c r="O61" s="12">
        <v>36630.042515887435</v>
      </c>
      <c r="P61" s="12">
        <v>-68942.342080189817</v>
      </c>
      <c r="Q61" s="12">
        <v>1288272.1125653586</v>
      </c>
    </row>
  </sheetData>
  <phoneticPr fontId="15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F8F7-64E5-4F62-8D12-6A93E58D2E93}">
  <dimension ref="A1:AF289"/>
  <sheetViews>
    <sheetView workbookViewId="0">
      <selection activeCell="C11" sqref="C11"/>
    </sheetView>
  </sheetViews>
  <sheetFormatPr defaultColWidth="11.42578125" defaultRowHeight="15"/>
  <cols>
    <col min="1" max="1" width="12.85546875" bestFit="1" customWidth="1"/>
    <col min="2" max="2" width="7.85546875" bestFit="1" customWidth="1"/>
    <col min="3" max="3" width="23.140625" bestFit="1" customWidth="1"/>
    <col min="4" max="4" width="10.140625" bestFit="1" customWidth="1"/>
    <col min="6" max="6" width="11.42578125" style="11"/>
    <col min="10" max="10" width="11.42578125" style="12"/>
    <col min="20" max="20" width="35" bestFit="1" customWidth="1"/>
    <col min="21" max="31" width="13.140625" bestFit="1" customWidth="1"/>
    <col min="32" max="32" width="14.140625" bestFit="1" customWidth="1"/>
  </cols>
  <sheetData>
    <row r="1" spans="1:32">
      <c r="A1" t="s">
        <v>40</v>
      </c>
      <c r="B1" t="s">
        <v>41</v>
      </c>
      <c r="C1" t="s">
        <v>42</v>
      </c>
      <c r="D1" t="s">
        <v>43</v>
      </c>
      <c r="E1" s="13" t="s">
        <v>44</v>
      </c>
      <c r="F1" s="11" t="s">
        <v>45</v>
      </c>
    </row>
    <row r="2" spans="1:32">
      <c r="A2" s="3" t="s">
        <v>46</v>
      </c>
      <c r="B2" s="10" t="s">
        <v>47</v>
      </c>
      <c r="C2" s="7" t="s">
        <v>48</v>
      </c>
      <c r="D2" s="5" t="s">
        <v>49</v>
      </c>
      <c r="E2" s="13" t="s">
        <v>50</v>
      </c>
      <c r="F2" s="11">
        <v>0.12754558289024362</v>
      </c>
      <c r="G2" t="str">
        <f>_xlfn.XLOOKUP(C2,$V$2:$V$7,$T$2:$T$7)</f>
        <v>Lacke &amp; Farben</v>
      </c>
      <c r="H2" t="str">
        <f>_xlfn.XLOOKUP(C2,$V$2:$V$7,$S$2:$S$7)</f>
        <v>LF</v>
      </c>
      <c r="I2">
        <f>_xlfn.XLOOKUP(C2,$V$2:$V$7,$U$2:$U$7)</f>
        <v>0</v>
      </c>
      <c r="J2" s="12">
        <f>SUMIFS($J$50:$J$289,$D$50:$D$289,D2,$E$50:$E$289,E2)</f>
        <v>210362.42205578182</v>
      </c>
      <c r="S2" t="s">
        <v>17</v>
      </c>
      <c r="T2" t="s">
        <v>18</v>
      </c>
      <c r="U2">
        <v>6.6935171617547757</v>
      </c>
      <c r="V2" t="s">
        <v>51</v>
      </c>
    </row>
    <row r="3" spans="1:32">
      <c r="A3" s="3" t="s">
        <v>46</v>
      </c>
      <c r="B3" s="10" t="s">
        <v>47</v>
      </c>
      <c r="C3" s="7" t="s">
        <v>48</v>
      </c>
      <c r="D3" s="5" t="s">
        <v>49</v>
      </c>
      <c r="E3" s="13" t="s">
        <v>52</v>
      </c>
      <c r="F3" s="11">
        <v>0.10157585830733144</v>
      </c>
      <c r="G3" t="str">
        <f t="shared" ref="G3:G21" si="0">_xlfn.XLOOKUP(C3,$V$2:$V$7,$T$2:$T$7)</f>
        <v>Lacke &amp; Farben</v>
      </c>
      <c r="H3" t="str">
        <f t="shared" ref="H3:H21" si="1">_xlfn.XLOOKUP(C3,$V$2:$V$7,$S$2:$S$7)</f>
        <v>LF</v>
      </c>
      <c r="I3">
        <f t="shared" ref="I3:I21" si="2">_xlfn.XLOOKUP(C3,$V$2:$V$7,$U$2:$U$7)</f>
        <v>0</v>
      </c>
      <c r="J3" s="12">
        <f t="shared" ref="J3:J49" si="3">SUMIFS($J$50:$J$289,$D$50:$D$289,D3,$E$50:$E$289,E3)</f>
        <v>104277.66158796904</v>
      </c>
      <c r="S3" t="s">
        <v>30</v>
      </c>
      <c r="T3" t="s">
        <v>31</v>
      </c>
      <c r="U3">
        <v>18.656216558167817</v>
      </c>
      <c r="V3" t="s">
        <v>53</v>
      </c>
    </row>
    <row r="4" spans="1:32">
      <c r="A4" s="3" t="s">
        <v>46</v>
      </c>
      <c r="B4" s="10" t="s">
        <v>47</v>
      </c>
      <c r="C4" s="7" t="s">
        <v>48</v>
      </c>
      <c r="D4" s="5" t="s">
        <v>49</v>
      </c>
      <c r="E4" s="13" t="s">
        <v>54</v>
      </c>
      <c r="F4" s="11">
        <v>0.2682856754461343</v>
      </c>
      <c r="G4" t="str">
        <f t="shared" si="0"/>
        <v>Lacke &amp; Farben</v>
      </c>
      <c r="H4" t="str">
        <f t="shared" si="1"/>
        <v>LF</v>
      </c>
      <c r="I4">
        <f t="shared" si="2"/>
        <v>0</v>
      </c>
      <c r="J4" s="12">
        <f t="shared" si="3"/>
        <v>549248.82176595519</v>
      </c>
      <c r="S4" t="s">
        <v>32</v>
      </c>
      <c r="T4" t="s">
        <v>33</v>
      </c>
      <c r="U4">
        <v>13.349324281948988</v>
      </c>
      <c r="V4" t="s">
        <v>55</v>
      </c>
    </row>
    <row r="5" spans="1:32">
      <c r="A5" s="3" t="s">
        <v>46</v>
      </c>
      <c r="B5" s="10" t="s">
        <v>47</v>
      </c>
      <c r="C5" s="7" t="s">
        <v>48</v>
      </c>
      <c r="D5" s="5" t="s">
        <v>49</v>
      </c>
      <c r="E5" s="13" t="s">
        <v>56</v>
      </c>
      <c r="F5" s="11">
        <v>0.1120131772741183</v>
      </c>
      <c r="G5" t="str">
        <f t="shared" si="0"/>
        <v>Lacke &amp; Farben</v>
      </c>
      <c r="H5" t="str">
        <f t="shared" si="1"/>
        <v>LF</v>
      </c>
      <c r="I5">
        <f t="shared" si="2"/>
        <v>0</v>
      </c>
      <c r="J5" s="12">
        <f t="shared" si="3"/>
        <v>114683.28245815617</v>
      </c>
      <c r="S5" t="s">
        <v>34</v>
      </c>
      <c r="T5" t="s">
        <v>35</v>
      </c>
      <c r="U5">
        <v>13.489680858100405</v>
      </c>
      <c r="V5" t="s">
        <v>57</v>
      </c>
    </row>
    <row r="6" spans="1:32">
      <c r="A6" s="3" t="s">
        <v>46</v>
      </c>
      <c r="B6" s="10" t="s">
        <v>47</v>
      </c>
      <c r="C6" s="7" t="s">
        <v>48</v>
      </c>
      <c r="D6" s="5" t="s">
        <v>49</v>
      </c>
      <c r="E6" s="13" t="s">
        <v>58</v>
      </c>
      <c r="F6" s="11">
        <v>0.23248400102617839</v>
      </c>
      <c r="G6" t="str">
        <f t="shared" si="0"/>
        <v>Lacke &amp; Farben</v>
      </c>
      <c r="H6" t="str">
        <f t="shared" si="1"/>
        <v>LF</v>
      </c>
      <c r="I6">
        <f t="shared" si="2"/>
        <v>0</v>
      </c>
      <c r="J6" s="12">
        <f t="shared" si="3"/>
        <v>396447.0663212238</v>
      </c>
      <c r="S6" t="s">
        <v>36</v>
      </c>
      <c r="T6" t="s">
        <v>37</v>
      </c>
      <c r="U6">
        <v>16.02927478260078</v>
      </c>
      <c r="V6" t="s">
        <v>59</v>
      </c>
    </row>
    <row r="7" spans="1:32">
      <c r="A7" s="3" t="s">
        <v>46</v>
      </c>
      <c r="B7" s="10" t="s">
        <v>47</v>
      </c>
      <c r="C7" s="7" t="s">
        <v>48</v>
      </c>
      <c r="D7" s="5" t="s">
        <v>49</v>
      </c>
      <c r="E7" s="13" t="s">
        <v>60</v>
      </c>
      <c r="F7" s="11">
        <v>0.13148447239619079</v>
      </c>
      <c r="G7" t="str">
        <f t="shared" si="0"/>
        <v>Lacke &amp; Farben</v>
      </c>
      <c r="H7" t="str">
        <f t="shared" si="1"/>
        <v>LF</v>
      </c>
      <c r="I7">
        <f t="shared" si="2"/>
        <v>0</v>
      </c>
      <c r="J7" s="12">
        <f t="shared" si="3"/>
        <v>294663.22269853315</v>
      </c>
      <c r="S7" t="s">
        <v>38</v>
      </c>
      <c r="T7" t="s">
        <v>39</v>
      </c>
      <c r="V7" t="s">
        <v>48</v>
      </c>
    </row>
    <row r="8" spans="1:32">
      <c r="A8" s="3" t="s">
        <v>46</v>
      </c>
      <c r="B8" s="10" t="s">
        <v>47</v>
      </c>
      <c r="C8" s="7" t="s">
        <v>48</v>
      </c>
      <c r="D8" s="5" t="s">
        <v>49</v>
      </c>
      <c r="E8" s="13" t="s">
        <v>61</v>
      </c>
      <c r="F8" s="11">
        <v>8.3256550003143609E-2</v>
      </c>
      <c r="G8" t="str">
        <f t="shared" si="0"/>
        <v>Lacke &amp; Farben</v>
      </c>
      <c r="H8" t="str">
        <f t="shared" si="1"/>
        <v>LF</v>
      </c>
      <c r="I8">
        <f t="shared" si="2"/>
        <v>0</v>
      </c>
      <c r="J8" s="12">
        <f t="shared" si="3"/>
        <v>148316.25957504031</v>
      </c>
    </row>
    <row r="9" spans="1:32">
      <c r="A9" s="3" t="s">
        <v>46</v>
      </c>
      <c r="B9" s="10" t="s">
        <v>47</v>
      </c>
      <c r="C9" s="7" t="s">
        <v>48</v>
      </c>
      <c r="D9" s="5" t="s">
        <v>49</v>
      </c>
      <c r="E9" s="13" t="s">
        <v>62</v>
      </c>
      <c r="F9" s="11">
        <v>0.10143947534906243</v>
      </c>
      <c r="G9" t="str">
        <f t="shared" si="0"/>
        <v>Lacke &amp; Farben</v>
      </c>
      <c r="H9" t="str">
        <f t="shared" si="1"/>
        <v>LF</v>
      </c>
      <c r="I9">
        <f t="shared" si="2"/>
        <v>0</v>
      </c>
      <c r="J9" s="12">
        <f t="shared" si="3"/>
        <v>118801.45070480381</v>
      </c>
    </row>
    <row r="10" spans="1:32">
      <c r="A10" s="3" t="s">
        <v>46</v>
      </c>
      <c r="B10" s="10" t="s">
        <v>47</v>
      </c>
      <c r="C10" s="7" t="s">
        <v>48</v>
      </c>
      <c r="D10" s="5" t="s">
        <v>49</v>
      </c>
      <c r="E10" s="13" t="s">
        <v>63</v>
      </c>
      <c r="F10" s="11">
        <v>0.13649777779699024</v>
      </c>
      <c r="G10" t="str">
        <f t="shared" si="0"/>
        <v>Lacke &amp; Farben</v>
      </c>
      <c r="H10" t="str">
        <f t="shared" si="1"/>
        <v>LF</v>
      </c>
      <c r="I10">
        <f t="shared" si="2"/>
        <v>0</v>
      </c>
      <c r="J10" s="12">
        <f t="shared" si="3"/>
        <v>164376.70715896424</v>
      </c>
      <c r="Q10" t="s">
        <v>17</v>
      </c>
      <c r="R10" t="s">
        <v>18</v>
      </c>
      <c r="S10" t="s">
        <v>51</v>
      </c>
    </row>
    <row r="11" spans="1:32">
      <c r="A11" s="3" t="s">
        <v>46</v>
      </c>
      <c r="B11" s="10" t="s">
        <v>47</v>
      </c>
      <c r="C11" s="7" t="s">
        <v>48</v>
      </c>
      <c r="D11" s="5" t="s">
        <v>49</v>
      </c>
      <c r="E11" s="13" t="s">
        <v>64</v>
      </c>
      <c r="F11" s="11">
        <v>0.18885433652256134</v>
      </c>
      <c r="G11" t="str">
        <f t="shared" si="0"/>
        <v>Lacke &amp; Farben</v>
      </c>
      <c r="H11" t="str">
        <f t="shared" si="1"/>
        <v>LF</v>
      </c>
      <c r="I11">
        <f t="shared" si="2"/>
        <v>0</v>
      </c>
      <c r="J11" s="12">
        <f t="shared" si="3"/>
        <v>246059.66750828669</v>
      </c>
      <c r="Q11" t="s">
        <v>30</v>
      </c>
      <c r="R11" t="s">
        <v>31</v>
      </c>
      <c r="S11" t="s">
        <v>53</v>
      </c>
    </row>
    <row r="12" spans="1:32">
      <c r="A12" s="3" t="s">
        <v>46</v>
      </c>
      <c r="B12" s="10" t="s">
        <v>47</v>
      </c>
      <c r="C12" s="7" t="s">
        <v>48</v>
      </c>
      <c r="D12" s="5" t="s">
        <v>49</v>
      </c>
      <c r="E12" s="13" t="s">
        <v>65</v>
      </c>
      <c r="F12" s="11">
        <v>0.12553665797421865</v>
      </c>
      <c r="G12" t="str">
        <f t="shared" si="0"/>
        <v>Lacke &amp; Farben</v>
      </c>
      <c r="H12" t="str">
        <f t="shared" si="1"/>
        <v>LF</v>
      </c>
      <c r="I12">
        <f t="shared" si="2"/>
        <v>0</v>
      </c>
      <c r="J12" s="12">
        <f t="shared" si="3"/>
        <v>197709.79970951084</v>
      </c>
      <c r="Q12" t="s">
        <v>32</v>
      </c>
      <c r="R12" t="s">
        <v>33</v>
      </c>
      <c r="S12" t="s">
        <v>55</v>
      </c>
    </row>
    <row r="13" spans="1:32">
      <c r="A13" s="3" t="s">
        <v>46</v>
      </c>
      <c r="B13" s="10" t="s">
        <v>47</v>
      </c>
      <c r="C13" s="7" t="s">
        <v>48</v>
      </c>
      <c r="D13" s="5" t="s">
        <v>49</v>
      </c>
      <c r="E13" s="13" t="s">
        <v>66</v>
      </c>
      <c r="F13" s="11">
        <v>8.5106512497553147E-2</v>
      </c>
      <c r="G13" t="str">
        <f t="shared" si="0"/>
        <v>Lacke &amp; Farben</v>
      </c>
      <c r="H13" t="str">
        <f t="shared" si="1"/>
        <v>LF</v>
      </c>
      <c r="I13">
        <f t="shared" si="2"/>
        <v>0</v>
      </c>
      <c r="J13" s="12">
        <f t="shared" si="3"/>
        <v>86563.773580731242</v>
      </c>
      <c r="Q13" t="s">
        <v>34</v>
      </c>
      <c r="R13" t="s">
        <v>35</v>
      </c>
      <c r="S13" t="s">
        <v>57</v>
      </c>
    </row>
    <row r="14" spans="1:32">
      <c r="A14" s="3" t="s">
        <v>46</v>
      </c>
      <c r="B14" s="10" t="s">
        <v>47</v>
      </c>
      <c r="C14" s="7" t="s">
        <v>48</v>
      </c>
      <c r="D14" s="5" t="s">
        <v>67</v>
      </c>
      <c r="E14" s="13" t="s">
        <v>50</v>
      </c>
      <c r="F14" s="11">
        <v>0.1282711748348587</v>
      </c>
      <c r="G14" t="str">
        <f t="shared" si="0"/>
        <v>Lacke &amp; Farben</v>
      </c>
      <c r="H14" t="str">
        <f t="shared" si="1"/>
        <v>LF</v>
      </c>
      <c r="I14">
        <f t="shared" si="2"/>
        <v>0</v>
      </c>
      <c r="J14" s="12">
        <f t="shared" si="3"/>
        <v>169428.9928896561</v>
      </c>
      <c r="Q14" t="s">
        <v>36</v>
      </c>
      <c r="R14" t="s">
        <v>37</v>
      </c>
      <c r="S14" t="s">
        <v>59</v>
      </c>
    </row>
    <row r="15" spans="1:32">
      <c r="A15" s="3" t="s">
        <v>46</v>
      </c>
      <c r="B15" s="10" t="s">
        <v>47</v>
      </c>
      <c r="C15" s="7" t="s">
        <v>48</v>
      </c>
      <c r="D15" s="5" t="s">
        <v>67</v>
      </c>
      <c r="E15" s="13" t="s">
        <v>52</v>
      </c>
      <c r="F15" s="11">
        <v>0.11075053009340778</v>
      </c>
      <c r="G15" t="str">
        <f t="shared" si="0"/>
        <v>Lacke &amp; Farben</v>
      </c>
      <c r="H15" t="str">
        <f t="shared" si="1"/>
        <v>LF</v>
      </c>
      <c r="I15">
        <f t="shared" si="2"/>
        <v>0</v>
      </c>
      <c r="J15" s="12">
        <f t="shared" si="3"/>
        <v>83534.733980569363</v>
      </c>
    </row>
    <row r="16" spans="1:32">
      <c r="A16" s="3" t="s">
        <v>46</v>
      </c>
      <c r="B16" s="10" t="s">
        <v>47</v>
      </c>
      <c r="C16" s="7" t="s">
        <v>48</v>
      </c>
      <c r="D16" s="5" t="s">
        <v>67</v>
      </c>
      <c r="E16" s="13" t="s">
        <v>54</v>
      </c>
      <c r="F16" s="11">
        <v>0.11980273044836814</v>
      </c>
      <c r="G16" t="str">
        <f t="shared" si="0"/>
        <v>Lacke &amp; Farben</v>
      </c>
      <c r="H16" t="str">
        <f t="shared" si="1"/>
        <v>LF</v>
      </c>
      <c r="I16">
        <f t="shared" si="2"/>
        <v>0</v>
      </c>
      <c r="J16" s="12">
        <f t="shared" si="3"/>
        <v>229621.33907881632</v>
      </c>
      <c r="P16" t="s">
        <v>68</v>
      </c>
      <c r="R16" t="s">
        <v>69</v>
      </c>
      <c r="S16" t="s">
        <v>70</v>
      </c>
      <c r="T16" t="s">
        <v>50</v>
      </c>
      <c r="U16" t="s">
        <v>52</v>
      </c>
      <c r="V16" t="s">
        <v>54</v>
      </c>
      <c r="W16" t="s">
        <v>56</v>
      </c>
      <c r="X16" t="s">
        <v>58</v>
      </c>
      <c r="Y16" t="s">
        <v>60</v>
      </c>
      <c r="Z16" t="s">
        <v>61</v>
      </c>
      <c r="AA16" t="s">
        <v>62</v>
      </c>
      <c r="AB16" t="s">
        <v>63</v>
      </c>
      <c r="AC16" t="s">
        <v>64</v>
      </c>
      <c r="AD16" t="s">
        <v>65</v>
      </c>
      <c r="AE16" t="s">
        <v>66</v>
      </c>
      <c r="AF16" t="s">
        <v>16</v>
      </c>
    </row>
    <row r="17" spans="1:32">
      <c r="A17" s="3" t="s">
        <v>46</v>
      </c>
      <c r="B17" s="10" t="s">
        <v>47</v>
      </c>
      <c r="C17" s="7" t="s">
        <v>48</v>
      </c>
      <c r="D17" s="5" t="s">
        <v>67</v>
      </c>
      <c r="E17" s="13" t="s">
        <v>56</v>
      </c>
      <c r="F17" s="11">
        <v>7.9891015104809449E-2</v>
      </c>
      <c r="G17" t="str">
        <f t="shared" si="0"/>
        <v>Lacke &amp; Farben</v>
      </c>
      <c r="H17" t="str">
        <f t="shared" si="1"/>
        <v>LF</v>
      </c>
      <c r="I17">
        <f t="shared" si="2"/>
        <v>0</v>
      </c>
      <c r="J17" s="12">
        <f t="shared" si="3"/>
        <v>77989.635344122187</v>
      </c>
      <c r="P17" t="s">
        <v>17</v>
      </c>
      <c r="Q17" t="s">
        <v>18</v>
      </c>
      <c r="R17" t="s">
        <v>19</v>
      </c>
      <c r="S17" t="s">
        <v>20</v>
      </c>
      <c r="T17" s="12">
        <v>1247021.6886456334</v>
      </c>
      <c r="U17" s="12">
        <v>1163492.3551225176</v>
      </c>
      <c r="V17" s="12">
        <v>1785497.4402184528</v>
      </c>
      <c r="W17" s="12">
        <v>1445397.1672205853</v>
      </c>
      <c r="X17" s="12">
        <v>2220313.7931995988</v>
      </c>
      <c r="Y17" s="12">
        <v>1828036.491621868</v>
      </c>
      <c r="Z17" s="12">
        <v>1820069.8762860713</v>
      </c>
      <c r="AA17" s="12">
        <v>1737107.2685435745</v>
      </c>
      <c r="AB17" s="12">
        <v>1346286.8644666742</v>
      </c>
      <c r="AC17" s="12">
        <v>1077769.8506192439</v>
      </c>
      <c r="AD17" s="12">
        <v>1243272.7304310794</v>
      </c>
      <c r="AE17" s="12">
        <v>709495.67349992378</v>
      </c>
      <c r="AF17" s="12">
        <v>17623761.199875228</v>
      </c>
    </row>
    <row r="18" spans="1:32">
      <c r="A18" s="3" t="s">
        <v>46</v>
      </c>
      <c r="B18" s="10" t="s">
        <v>47</v>
      </c>
      <c r="C18" s="7" t="s">
        <v>48</v>
      </c>
      <c r="D18" s="5" t="s">
        <v>67</v>
      </c>
      <c r="E18" s="13" t="s">
        <v>58</v>
      </c>
      <c r="F18" s="11">
        <v>0.25096382596311506</v>
      </c>
      <c r="G18" t="str">
        <f t="shared" si="0"/>
        <v>Lacke &amp; Farben</v>
      </c>
      <c r="H18" t="str">
        <f t="shared" si="1"/>
        <v>LF</v>
      </c>
      <c r="I18">
        <f t="shared" si="2"/>
        <v>0</v>
      </c>
      <c r="J18" s="12">
        <f t="shared" si="3"/>
        <v>371008.27639116882</v>
      </c>
      <c r="P18" t="s">
        <v>30</v>
      </c>
      <c r="Q18" t="s">
        <v>31</v>
      </c>
      <c r="R18" t="s">
        <v>19</v>
      </c>
      <c r="S18" t="s">
        <v>20</v>
      </c>
      <c r="T18" s="12">
        <v>1896848.214962861</v>
      </c>
      <c r="U18" s="12">
        <v>1993741.0064209797</v>
      </c>
      <c r="V18" s="12">
        <v>2406710.5973080341</v>
      </c>
      <c r="W18" s="12">
        <v>1697544.1143824856</v>
      </c>
      <c r="X18" s="12">
        <v>2124754.0894758203</v>
      </c>
      <c r="Y18" s="12">
        <v>2109483.2206244967</v>
      </c>
      <c r="Z18" s="12">
        <v>2091914.3179854818</v>
      </c>
      <c r="AA18" s="12">
        <v>1656143.7017789918</v>
      </c>
      <c r="AB18" s="12">
        <v>2338328.3139670216</v>
      </c>
      <c r="AC18" s="12">
        <v>2026010.3767893892</v>
      </c>
      <c r="AD18" s="12">
        <v>2500480.6257227506</v>
      </c>
      <c r="AE18" s="12">
        <v>2059433.4191713326</v>
      </c>
      <c r="AF18" s="12">
        <v>24901391.998589538</v>
      </c>
    </row>
    <row r="19" spans="1:32">
      <c r="A19" s="3" t="s">
        <v>46</v>
      </c>
      <c r="B19" s="10" t="s">
        <v>47</v>
      </c>
      <c r="C19" s="7" t="s">
        <v>48</v>
      </c>
      <c r="D19" s="5" t="s">
        <v>67</v>
      </c>
      <c r="E19" s="13" t="s">
        <v>60</v>
      </c>
      <c r="F19" s="11">
        <v>4.8071609094380366E-2</v>
      </c>
      <c r="G19" t="str">
        <f t="shared" si="0"/>
        <v>Lacke &amp; Farben</v>
      </c>
      <c r="H19" t="str">
        <f t="shared" si="1"/>
        <v>LF</v>
      </c>
      <c r="I19">
        <f t="shared" si="2"/>
        <v>0</v>
      </c>
      <c r="J19" s="12">
        <f t="shared" si="3"/>
        <v>150652.89006300436</v>
      </c>
      <c r="P19" t="s">
        <v>32</v>
      </c>
      <c r="Q19" t="s">
        <v>33</v>
      </c>
      <c r="R19" t="s">
        <v>19</v>
      </c>
      <c r="S19" t="s">
        <v>20</v>
      </c>
      <c r="T19" s="12">
        <v>4786498.4972095396</v>
      </c>
      <c r="U19" s="12">
        <v>3952063.450975623</v>
      </c>
      <c r="V19" s="12">
        <v>5246906.5998367127</v>
      </c>
      <c r="W19" s="12">
        <v>4721394.3298126357</v>
      </c>
      <c r="X19" s="12">
        <v>4024445.9908016436</v>
      </c>
      <c r="Y19" s="12">
        <v>4515409.1642082324</v>
      </c>
      <c r="Z19" s="12">
        <v>3961694.9486891394</v>
      </c>
      <c r="AA19" s="12">
        <v>3603475.3997372775</v>
      </c>
      <c r="AB19" s="12">
        <v>3197287.8668595599</v>
      </c>
      <c r="AC19" s="12">
        <v>2897868.1459641051</v>
      </c>
      <c r="AD19" s="12">
        <v>3193782.7761831591</v>
      </c>
      <c r="AE19" s="12">
        <v>2804471.3196557919</v>
      </c>
      <c r="AF19" s="12">
        <v>46905298.489933506</v>
      </c>
    </row>
    <row r="20" spans="1:32">
      <c r="A20" s="3" t="s">
        <v>46</v>
      </c>
      <c r="B20" s="10" t="s">
        <v>47</v>
      </c>
      <c r="C20" s="7" t="s">
        <v>48</v>
      </c>
      <c r="D20" s="5" t="s">
        <v>67</v>
      </c>
      <c r="E20" s="13" t="s">
        <v>61</v>
      </c>
      <c r="F20" s="11">
        <v>0.14308009558354659</v>
      </c>
      <c r="G20" t="str">
        <f t="shared" si="0"/>
        <v>Lacke &amp; Farben</v>
      </c>
      <c r="H20" t="str">
        <f t="shared" si="1"/>
        <v>LF</v>
      </c>
      <c r="I20">
        <f t="shared" si="2"/>
        <v>0</v>
      </c>
      <c r="J20" s="12">
        <f t="shared" si="3"/>
        <v>196423.89951120739</v>
      </c>
      <c r="P20" t="s">
        <v>34</v>
      </c>
      <c r="Q20" t="s">
        <v>35</v>
      </c>
      <c r="R20" t="s">
        <v>19</v>
      </c>
      <c r="S20" t="s">
        <v>20</v>
      </c>
      <c r="T20" s="12">
        <v>4154735.3421876812</v>
      </c>
      <c r="U20" s="12">
        <v>4503197.8958434043</v>
      </c>
      <c r="V20" s="12">
        <v>4601036.0665328316</v>
      </c>
      <c r="W20" s="12">
        <v>4212463.1768348459</v>
      </c>
      <c r="X20" s="12">
        <v>4954741.4874493098</v>
      </c>
      <c r="Y20" s="12">
        <v>4578687.6468459042</v>
      </c>
      <c r="Z20" s="12">
        <v>5111904.6088516274</v>
      </c>
      <c r="AA20" s="12">
        <v>4279690.1245412892</v>
      </c>
      <c r="AB20" s="12">
        <v>4484712.2531709038</v>
      </c>
      <c r="AC20" s="12">
        <v>3525158.7571221627</v>
      </c>
      <c r="AD20" s="12">
        <v>2970023.8966168175</v>
      </c>
      <c r="AE20" s="12">
        <v>2954282.6111895903</v>
      </c>
      <c r="AF20" s="12">
        <v>50330633.867186442</v>
      </c>
    </row>
    <row r="21" spans="1:32">
      <c r="A21" s="3" t="s">
        <v>46</v>
      </c>
      <c r="B21" s="10" t="s">
        <v>47</v>
      </c>
      <c r="C21" s="7" t="s">
        <v>48</v>
      </c>
      <c r="D21" s="5" t="s">
        <v>67</v>
      </c>
      <c r="E21" s="13" t="s">
        <v>62</v>
      </c>
      <c r="F21" s="11">
        <v>9.4014969040063942E-2</v>
      </c>
      <c r="G21" t="str">
        <f t="shared" si="0"/>
        <v>Lacke &amp; Farben</v>
      </c>
      <c r="H21" t="str">
        <f t="shared" si="1"/>
        <v>LF</v>
      </c>
      <c r="I21">
        <f t="shared" si="2"/>
        <v>0</v>
      </c>
      <c r="J21" s="12">
        <f t="shared" si="3"/>
        <v>130367.90394126208</v>
      </c>
      <c r="P21" t="s">
        <v>36</v>
      </c>
      <c r="Q21" t="s">
        <v>37</v>
      </c>
      <c r="R21" t="s">
        <v>19</v>
      </c>
      <c r="S21" t="s">
        <v>20</v>
      </c>
      <c r="T21" s="12">
        <v>2724831.1625435883</v>
      </c>
      <c r="U21" s="12">
        <v>2348783.8100599106</v>
      </c>
      <c r="V21" s="12">
        <v>2494951.2879185509</v>
      </c>
      <c r="W21" s="12">
        <v>2177403.9832517384</v>
      </c>
      <c r="X21" s="12">
        <v>2401028.0013644132</v>
      </c>
      <c r="Y21" s="12">
        <v>2674516.3473596899</v>
      </c>
      <c r="Z21" s="12">
        <v>2700025.4132552771</v>
      </c>
      <c r="AA21" s="12">
        <v>2535945.0234077387</v>
      </c>
      <c r="AB21" s="12">
        <v>2953778.5045163846</v>
      </c>
      <c r="AC21" s="12">
        <v>2556721.7761647892</v>
      </c>
      <c r="AD21" s="12">
        <v>2546384.2791764634</v>
      </c>
      <c r="AE21" s="12">
        <v>2062914.7334677507</v>
      </c>
      <c r="AF21" s="12">
        <v>30177284.322486401</v>
      </c>
    </row>
    <row r="22" spans="1:32">
      <c r="A22" s="3" t="s">
        <v>46</v>
      </c>
      <c r="B22" s="10" t="s">
        <v>47</v>
      </c>
      <c r="C22" s="7" t="s">
        <v>48</v>
      </c>
      <c r="D22" s="5" t="s">
        <v>67</v>
      </c>
      <c r="E22" s="13" t="s">
        <v>63</v>
      </c>
      <c r="F22" s="11">
        <v>0.17618293464520274</v>
      </c>
      <c r="G22" t="str">
        <f t="shared" ref="G22:G85" si="4">_xlfn.XLOOKUP(C22,$V$2:$V$7,$T$2:$T$7)</f>
        <v>Lacke &amp; Farben</v>
      </c>
      <c r="H22" t="str">
        <f t="shared" ref="H22:H85" si="5">_xlfn.XLOOKUP(C22,$V$2:$V$7,$S$2:$S$7)</f>
        <v>LF</v>
      </c>
      <c r="I22">
        <f t="shared" ref="I22:I85" si="6">_xlfn.XLOOKUP(C22,$V$2:$V$7,$U$2:$U$7)</f>
        <v>0</v>
      </c>
      <c r="J22" s="12">
        <f t="shared" si="3"/>
        <v>227751.97250520138</v>
      </c>
      <c r="P22" t="s">
        <v>38</v>
      </c>
      <c r="Q22" t="s">
        <v>39</v>
      </c>
      <c r="R22" t="s">
        <v>19</v>
      </c>
      <c r="S22" t="s">
        <v>20</v>
      </c>
      <c r="T22" s="12">
        <v>1480993.4905549302</v>
      </c>
      <c r="U22" s="12">
        <v>1396127.8518422435</v>
      </c>
      <c r="V22" s="12">
        <v>1653510.1991814582</v>
      </c>
      <c r="W22" s="12">
        <v>1425420.2771502291</v>
      </c>
      <c r="X22" s="12">
        <v>1572528.3362290785</v>
      </c>
      <c r="Y22" s="12">
        <v>1570613.2870660194</v>
      </c>
      <c r="Z22" s="12">
        <v>1568560.9165067598</v>
      </c>
      <c r="AA22" s="12">
        <v>1381236.1518008872</v>
      </c>
      <c r="AB22" s="12">
        <v>1432039.3802980545</v>
      </c>
      <c r="AC22" s="12">
        <v>1208352.8906659689</v>
      </c>
      <c r="AD22" s="12">
        <v>1245394.4308130268</v>
      </c>
      <c r="AE22" s="12">
        <v>1059059.7756984388</v>
      </c>
      <c r="AF22" s="12">
        <v>16993836.987807114</v>
      </c>
    </row>
    <row r="23" spans="1:32">
      <c r="A23" s="3" t="s">
        <v>46</v>
      </c>
      <c r="B23" s="10" t="s">
        <v>47</v>
      </c>
      <c r="C23" s="7" t="s">
        <v>48</v>
      </c>
      <c r="D23" s="5" t="s">
        <v>67</v>
      </c>
      <c r="E23" s="13" t="s">
        <v>64</v>
      </c>
      <c r="F23" s="11">
        <v>0.20277451515734446</v>
      </c>
      <c r="G23" t="str">
        <f t="shared" si="4"/>
        <v>Lacke &amp; Farben</v>
      </c>
      <c r="H23" t="str">
        <f t="shared" si="5"/>
        <v>LF</v>
      </c>
      <c r="I23">
        <f t="shared" si="6"/>
        <v>0</v>
      </c>
      <c r="J23" s="12">
        <f t="shared" si="3"/>
        <v>220524.00010577278</v>
      </c>
    </row>
    <row r="24" spans="1:32">
      <c r="A24" s="3" t="s">
        <v>46</v>
      </c>
      <c r="B24" s="10" t="s">
        <v>47</v>
      </c>
      <c r="C24" s="7" t="s">
        <v>48</v>
      </c>
      <c r="D24" s="5" t="s">
        <v>67</v>
      </c>
      <c r="E24" s="13" t="s">
        <v>65</v>
      </c>
      <c r="F24" s="11">
        <v>6.9512382941301021E-2</v>
      </c>
      <c r="G24" t="str">
        <f t="shared" si="4"/>
        <v>Lacke &amp; Farben</v>
      </c>
      <c r="H24" t="str">
        <f t="shared" si="5"/>
        <v>LF</v>
      </c>
      <c r="I24">
        <f t="shared" si="6"/>
        <v>0</v>
      </c>
      <c r="J24" s="12">
        <f t="shared" si="3"/>
        <v>54086.818835450395</v>
      </c>
    </row>
    <row r="25" spans="1:32">
      <c r="A25" s="3" t="s">
        <v>46</v>
      </c>
      <c r="B25" s="10" t="s">
        <v>47</v>
      </c>
      <c r="C25" s="7" t="s">
        <v>48</v>
      </c>
      <c r="D25" s="5" t="s">
        <v>67</v>
      </c>
      <c r="E25" s="13" t="s">
        <v>66</v>
      </c>
      <c r="F25" s="11">
        <v>0.20888493737688044</v>
      </c>
      <c r="G25" t="str">
        <f t="shared" si="4"/>
        <v>Lacke &amp; Farben</v>
      </c>
      <c r="H25" t="str">
        <f t="shared" si="5"/>
        <v>LF</v>
      </c>
      <c r="I25">
        <f t="shared" si="6"/>
        <v>0</v>
      </c>
      <c r="J25" s="12">
        <f t="shared" si="3"/>
        <v>205875.82920374867</v>
      </c>
    </row>
    <row r="26" spans="1:32">
      <c r="A26" s="3" t="s">
        <v>46</v>
      </c>
      <c r="B26" s="10" t="s">
        <v>47</v>
      </c>
      <c r="C26" s="7" t="s">
        <v>48</v>
      </c>
      <c r="D26" s="5" t="s">
        <v>71</v>
      </c>
      <c r="E26" s="13" t="s">
        <v>50</v>
      </c>
      <c r="F26" s="11">
        <v>0.7133931593389311</v>
      </c>
      <c r="G26" t="str">
        <f t="shared" si="4"/>
        <v>Lacke &amp; Farben</v>
      </c>
      <c r="H26" t="str">
        <f t="shared" si="5"/>
        <v>LF</v>
      </c>
      <c r="I26">
        <f t="shared" si="6"/>
        <v>0</v>
      </c>
      <c r="J26" s="12">
        <f t="shared" si="3"/>
        <v>688092.6664510339</v>
      </c>
    </row>
    <row r="27" spans="1:32">
      <c r="A27" s="3" t="s">
        <v>46</v>
      </c>
      <c r="B27" s="10" t="s">
        <v>47</v>
      </c>
      <c r="C27" s="7" t="s">
        <v>48</v>
      </c>
      <c r="D27" s="5" t="s">
        <v>71</v>
      </c>
      <c r="E27" s="13" t="s">
        <v>52</v>
      </c>
      <c r="F27" s="11">
        <v>0.76959944667531743</v>
      </c>
      <c r="G27" t="str">
        <f t="shared" si="4"/>
        <v>Lacke &amp; Farben</v>
      </c>
      <c r="H27" t="str">
        <f t="shared" si="5"/>
        <v>LF</v>
      </c>
      <c r="I27">
        <f t="shared" si="6"/>
        <v>0</v>
      </c>
      <c r="J27" s="12">
        <f t="shared" si="3"/>
        <v>759691.69696104492</v>
      </c>
    </row>
    <row r="28" spans="1:32">
      <c r="A28" s="3" t="s">
        <v>46</v>
      </c>
      <c r="B28" s="10" t="s">
        <v>47</v>
      </c>
      <c r="C28" s="7" t="s">
        <v>48</v>
      </c>
      <c r="D28" s="5" t="s">
        <v>71</v>
      </c>
      <c r="E28" s="13" t="s">
        <v>54</v>
      </c>
      <c r="F28" s="11">
        <v>0.56135221141909086</v>
      </c>
      <c r="G28" t="str">
        <f t="shared" si="4"/>
        <v>Lacke &amp; Farben</v>
      </c>
      <c r="H28" t="str">
        <f t="shared" si="5"/>
        <v>LF</v>
      </c>
      <c r="I28">
        <f t="shared" si="6"/>
        <v>0</v>
      </c>
      <c r="J28" s="12">
        <f t="shared" si="3"/>
        <v>470477.30855810188</v>
      </c>
    </row>
    <row r="29" spans="1:32">
      <c r="A29" s="3" t="s">
        <v>46</v>
      </c>
      <c r="B29" s="10" t="s">
        <v>47</v>
      </c>
      <c r="C29" s="7" t="s">
        <v>48</v>
      </c>
      <c r="D29" s="5" t="s">
        <v>71</v>
      </c>
      <c r="E29" s="13" t="s">
        <v>56</v>
      </c>
      <c r="F29" s="11">
        <v>0.78173286424463639</v>
      </c>
      <c r="G29" t="str">
        <f t="shared" si="4"/>
        <v>Lacke &amp; Farben</v>
      </c>
      <c r="H29" t="str">
        <f t="shared" si="5"/>
        <v>LF</v>
      </c>
      <c r="I29">
        <f t="shared" si="6"/>
        <v>0</v>
      </c>
      <c r="J29" s="12">
        <f t="shared" si="3"/>
        <v>884840.77519777056</v>
      </c>
    </row>
    <row r="30" spans="1:32">
      <c r="A30" s="3" t="s">
        <v>46</v>
      </c>
      <c r="B30" s="10" t="s">
        <v>47</v>
      </c>
      <c r="C30" s="7" t="s">
        <v>48</v>
      </c>
      <c r="D30" s="5" t="s">
        <v>71</v>
      </c>
      <c r="E30" s="13" t="s">
        <v>58</v>
      </c>
      <c r="F30" s="11">
        <v>0.46878828778230824</v>
      </c>
      <c r="G30" t="str">
        <f t="shared" si="4"/>
        <v>Lacke &amp; Farben</v>
      </c>
      <c r="H30" t="str">
        <f t="shared" si="5"/>
        <v>LF</v>
      </c>
      <c r="I30">
        <f t="shared" si="6"/>
        <v>0</v>
      </c>
      <c r="J30" s="12">
        <f t="shared" si="3"/>
        <v>405693.06761597423</v>
      </c>
    </row>
    <row r="31" spans="1:32">
      <c r="A31" s="3" t="s">
        <v>46</v>
      </c>
      <c r="B31" s="10" t="s">
        <v>47</v>
      </c>
      <c r="C31" s="7" t="s">
        <v>48</v>
      </c>
      <c r="D31" s="5" t="s">
        <v>71</v>
      </c>
      <c r="E31" s="13" t="s">
        <v>60</v>
      </c>
      <c r="F31" s="11">
        <v>0.81105544020868015</v>
      </c>
      <c r="G31" t="str">
        <f t="shared" si="4"/>
        <v>Lacke &amp; Farben</v>
      </c>
      <c r="H31" t="str">
        <f t="shared" si="5"/>
        <v>LF</v>
      </c>
      <c r="I31">
        <f t="shared" si="6"/>
        <v>0</v>
      </c>
      <c r="J31" s="12">
        <f t="shared" si="3"/>
        <v>771258.43796244659</v>
      </c>
    </row>
    <row r="32" spans="1:32">
      <c r="A32" s="3" t="s">
        <v>46</v>
      </c>
      <c r="B32" s="10" t="s">
        <v>47</v>
      </c>
      <c r="C32" s="7" t="s">
        <v>48</v>
      </c>
      <c r="D32" s="5" t="s">
        <v>71</v>
      </c>
      <c r="E32" s="13" t="s">
        <v>61</v>
      </c>
      <c r="F32" s="11">
        <v>0.73948149157788789</v>
      </c>
      <c r="G32" t="str">
        <f t="shared" si="4"/>
        <v>Lacke &amp; Farben</v>
      </c>
      <c r="H32" t="str">
        <f t="shared" si="5"/>
        <v>LF</v>
      </c>
      <c r="I32">
        <f t="shared" si="6"/>
        <v>0</v>
      </c>
      <c r="J32" s="12">
        <f t="shared" si="3"/>
        <v>834554.6730195483</v>
      </c>
    </row>
    <row r="33" spans="1:10">
      <c r="A33" s="3" t="s">
        <v>46</v>
      </c>
      <c r="B33" s="10" t="s">
        <v>47</v>
      </c>
      <c r="C33" s="7" t="s">
        <v>48</v>
      </c>
      <c r="D33" s="5" t="s">
        <v>71</v>
      </c>
      <c r="E33" s="13" t="s">
        <v>62</v>
      </c>
      <c r="F33" s="11">
        <v>0.80118427734222375</v>
      </c>
      <c r="G33" t="str">
        <f t="shared" si="4"/>
        <v>Lacke &amp; Farben</v>
      </c>
      <c r="H33" t="str">
        <f t="shared" si="5"/>
        <v>LF</v>
      </c>
      <c r="I33">
        <f t="shared" si="6"/>
        <v>0</v>
      </c>
      <c r="J33" s="12">
        <f t="shared" si="3"/>
        <v>838822.77632379695</v>
      </c>
    </row>
    <row r="34" spans="1:10">
      <c r="A34" s="3" t="s">
        <v>46</v>
      </c>
      <c r="B34" s="10" t="s">
        <v>47</v>
      </c>
      <c r="C34" s="7" t="s">
        <v>48</v>
      </c>
      <c r="D34" s="5" t="s">
        <v>71</v>
      </c>
      <c r="E34" s="13" t="s">
        <v>63</v>
      </c>
      <c r="F34" s="11">
        <v>0.67084020306772185</v>
      </c>
      <c r="G34" t="str">
        <f t="shared" si="4"/>
        <v>Lacke &amp; Farben</v>
      </c>
      <c r="H34" t="str">
        <f t="shared" si="5"/>
        <v>LF</v>
      </c>
      <c r="I34">
        <f t="shared" si="6"/>
        <v>0</v>
      </c>
      <c r="J34" s="12">
        <f t="shared" si="3"/>
        <v>676100.74069443415</v>
      </c>
    </row>
    <row r="35" spans="1:10">
      <c r="A35" s="3" t="s">
        <v>46</v>
      </c>
      <c r="B35" s="10" t="s">
        <v>47</v>
      </c>
      <c r="C35" s="7" t="s">
        <v>48</v>
      </c>
      <c r="D35" s="5" t="s">
        <v>71</v>
      </c>
      <c r="E35" s="13" t="s">
        <v>64</v>
      </c>
      <c r="F35" s="11">
        <v>0.57607642202214426</v>
      </c>
      <c r="G35" t="str">
        <f t="shared" si="4"/>
        <v>Lacke &amp; Farben</v>
      </c>
      <c r="H35" t="str">
        <f t="shared" si="5"/>
        <v>LF</v>
      </c>
      <c r="I35">
        <f t="shared" si="6"/>
        <v>0</v>
      </c>
      <c r="J35" s="12">
        <f t="shared" si="3"/>
        <v>401166.53207734134</v>
      </c>
    </row>
    <row r="36" spans="1:10">
      <c r="A36" s="3" t="s">
        <v>46</v>
      </c>
      <c r="B36" s="10" t="s">
        <v>47</v>
      </c>
      <c r="C36" s="7" t="s">
        <v>48</v>
      </c>
      <c r="D36" s="5" t="s">
        <v>71</v>
      </c>
      <c r="E36" s="13" t="s">
        <v>65</v>
      </c>
      <c r="F36" s="11">
        <v>0.79976474881376824</v>
      </c>
      <c r="G36" t="str">
        <f t="shared" si="4"/>
        <v>Lacke &amp; Farben</v>
      </c>
      <c r="H36" t="str">
        <f t="shared" si="5"/>
        <v>LF</v>
      </c>
      <c r="I36">
        <f t="shared" si="6"/>
        <v>0</v>
      </c>
      <c r="J36" s="12">
        <f t="shared" si="3"/>
        <v>682006.4344071435</v>
      </c>
    </row>
    <row r="37" spans="1:10">
      <c r="A37" s="3" t="s">
        <v>46</v>
      </c>
      <c r="B37" s="10" t="s">
        <v>47</v>
      </c>
      <c r="C37" s="7" t="s">
        <v>48</v>
      </c>
      <c r="D37" s="5" t="s">
        <v>71</v>
      </c>
      <c r="E37" s="13" t="s">
        <v>66</v>
      </c>
      <c r="F37" s="11">
        <v>0.65199036959063861</v>
      </c>
      <c r="G37" t="str">
        <f t="shared" si="4"/>
        <v>Lacke &amp; Farben</v>
      </c>
      <c r="H37" t="str">
        <f t="shared" si="5"/>
        <v>LF</v>
      </c>
      <c r="I37">
        <f t="shared" si="6"/>
        <v>0</v>
      </c>
      <c r="J37" s="12">
        <f t="shared" si="3"/>
        <v>439227.4343221786</v>
      </c>
    </row>
    <row r="38" spans="1:10">
      <c r="A38" s="3" t="s">
        <v>46</v>
      </c>
      <c r="B38" s="10" t="s">
        <v>47</v>
      </c>
      <c r="C38" s="7" t="s">
        <v>48</v>
      </c>
      <c r="D38" s="5" t="s">
        <v>72</v>
      </c>
      <c r="E38" s="13" t="s">
        <v>50</v>
      </c>
      <c r="F38" s="11">
        <v>3.0790082935966408E-2</v>
      </c>
      <c r="G38" t="str">
        <f t="shared" si="4"/>
        <v>Lacke &amp; Farben</v>
      </c>
      <c r="H38" t="str">
        <f t="shared" si="5"/>
        <v>LF</v>
      </c>
      <c r="I38">
        <f t="shared" si="6"/>
        <v>0</v>
      </c>
      <c r="J38" s="12">
        <f t="shared" si="3"/>
        <v>56634.491017736305</v>
      </c>
    </row>
    <row r="39" spans="1:10">
      <c r="A39" s="3" t="s">
        <v>46</v>
      </c>
      <c r="B39" s="10" t="s">
        <v>47</v>
      </c>
      <c r="C39" s="7" t="s">
        <v>48</v>
      </c>
      <c r="D39" s="5" t="s">
        <v>72</v>
      </c>
      <c r="E39" s="13" t="s">
        <v>52</v>
      </c>
      <c r="F39" s="11">
        <v>1.8074164923943366E-2</v>
      </c>
      <c r="G39" t="str">
        <f t="shared" si="4"/>
        <v>Lacke &amp; Farben</v>
      </c>
      <c r="H39" t="str">
        <f t="shared" si="5"/>
        <v>LF</v>
      </c>
      <c r="I39">
        <f t="shared" si="6"/>
        <v>0</v>
      </c>
      <c r="J39" s="12">
        <f t="shared" si="3"/>
        <v>109593.02260055719</v>
      </c>
    </row>
    <row r="40" spans="1:10">
      <c r="A40" s="3" t="s">
        <v>46</v>
      </c>
      <c r="B40" s="10" t="s">
        <v>47</v>
      </c>
      <c r="C40" s="7" t="s">
        <v>48</v>
      </c>
      <c r="D40" s="5" t="s">
        <v>72</v>
      </c>
      <c r="E40" s="13" t="s">
        <v>54</v>
      </c>
      <c r="F40" s="11">
        <v>5.0559382686406876E-2</v>
      </c>
      <c r="G40" t="str">
        <f t="shared" si="4"/>
        <v>Lacke &amp; Farben</v>
      </c>
      <c r="H40" t="str">
        <f t="shared" si="5"/>
        <v>LF</v>
      </c>
      <c r="I40">
        <f t="shared" si="6"/>
        <v>0</v>
      </c>
      <c r="J40" s="12">
        <f t="shared" si="3"/>
        <v>36180.407785955373</v>
      </c>
    </row>
    <row r="41" spans="1:10">
      <c r="A41" s="3" t="s">
        <v>46</v>
      </c>
      <c r="B41" s="10" t="s">
        <v>47</v>
      </c>
      <c r="C41" s="7" t="s">
        <v>48</v>
      </c>
      <c r="D41" s="5" t="s">
        <v>72</v>
      </c>
      <c r="E41" s="13" t="s">
        <v>56</v>
      </c>
      <c r="F41" s="11">
        <v>2.63629433764359E-2</v>
      </c>
      <c r="G41" t="str">
        <f t="shared" si="4"/>
        <v>Lacke &amp; Farben</v>
      </c>
      <c r="H41" t="str">
        <f t="shared" si="5"/>
        <v>LF</v>
      </c>
      <c r="I41">
        <f t="shared" si="6"/>
        <v>0</v>
      </c>
      <c r="J41" s="12">
        <f t="shared" si="3"/>
        <v>31209.581419903909</v>
      </c>
    </row>
    <row r="42" spans="1:10">
      <c r="A42" s="3" t="s">
        <v>46</v>
      </c>
      <c r="B42" s="10" t="s">
        <v>47</v>
      </c>
      <c r="C42" s="7" t="s">
        <v>48</v>
      </c>
      <c r="D42" s="5" t="s">
        <v>72</v>
      </c>
      <c r="E42" s="13" t="s">
        <v>58</v>
      </c>
      <c r="F42" s="11">
        <v>4.7763885228398445E-2</v>
      </c>
      <c r="G42" t="str">
        <f t="shared" si="4"/>
        <v>Lacke &amp; Farben</v>
      </c>
      <c r="H42" t="str">
        <f t="shared" si="5"/>
        <v>LF</v>
      </c>
      <c r="I42">
        <f t="shared" si="6"/>
        <v>0</v>
      </c>
      <c r="J42" s="12">
        <f t="shared" si="3"/>
        <v>91013.252855298342</v>
      </c>
    </row>
    <row r="43" spans="1:10">
      <c r="A43" s="3" t="s">
        <v>46</v>
      </c>
      <c r="B43" s="10" t="s">
        <v>47</v>
      </c>
      <c r="C43" s="7" t="s">
        <v>48</v>
      </c>
      <c r="D43" s="5" t="s">
        <v>72</v>
      </c>
      <c r="E43" s="13" t="s">
        <v>60</v>
      </c>
      <c r="F43" s="11">
        <v>9.3884783007487944E-3</v>
      </c>
      <c r="G43" t="str">
        <f t="shared" si="4"/>
        <v>Lacke &amp; Farben</v>
      </c>
      <c r="H43" t="str">
        <f t="shared" si="5"/>
        <v>LF</v>
      </c>
      <c r="I43">
        <f t="shared" si="6"/>
        <v>0</v>
      </c>
      <c r="J43" s="12">
        <f t="shared" si="3"/>
        <v>14125.799454928989</v>
      </c>
    </row>
    <row r="44" spans="1:10">
      <c r="A44" s="3" t="s">
        <v>46</v>
      </c>
      <c r="B44" s="10" t="s">
        <v>47</v>
      </c>
      <c r="C44" s="7" t="s">
        <v>48</v>
      </c>
      <c r="D44" s="5" t="s">
        <v>72</v>
      </c>
      <c r="E44" s="13" t="s">
        <v>61</v>
      </c>
      <c r="F44" s="11">
        <v>3.4181862835421919E-2</v>
      </c>
      <c r="G44" t="str">
        <f t="shared" si="4"/>
        <v>Lacke &amp; Farben</v>
      </c>
      <c r="H44" t="str">
        <f t="shared" si="5"/>
        <v>LF</v>
      </c>
      <c r="I44">
        <f t="shared" si="6"/>
        <v>0</v>
      </c>
      <c r="J44" s="12">
        <f t="shared" si="3"/>
        <v>48913.953112679781</v>
      </c>
    </row>
    <row r="45" spans="1:10">
      <c r="A45" s="3" t="s">
        <v>46</v>
      </c>
      <c r="B45" s="10" t="s">
        <v>47</v>
      </c>
      <c r="C45" s="7" t="s">
        <v>48</v>
      </c>
      <c r="D45" s="5" t="s">
        <v>72</v>
      </c>
      <c r="E45" s="13" t="s">
        <v>62</v>
      </c>
      <c r="F45" s="11">
        <v>3.3612782686499071E-3</v>
      </c>
      <c r="G45" t="str">
        <f t="shared" si="4"/>
        <v>Lacke &amp; Farben</v>
      </c>
      <c r="H45" t="str">
        <f t="shared" si="5"/>
        <v>LF</v>
      </c>
      <c r="I45">
        <f t="shared" si="6"/>
        <v>0</v>
      </c>
      <c r="J45" s="12">
        <f t="shared" si="3"/>
        <v>5700.9993080969489</v>
      </c>
    </row>
    <row r="46" spans="1:10">
      <c r="A46" s="3" t="s">
        <v>46</v>
      </c>
      <c r="B46" s="10" t="s">
        <v>47</v>
      </c>
      <c r="C46" s="7" t="s">
        <v>48</v>
      </c>
      <c r="D46" s="5" t="s">
        <v>72</v>
      </c>
      <c r="E46" s="13" t="s">
        <v>63</v>
      </c>
      <c r="F46" s="11">
        <v>1.6479084490085165E-2</v>
      </c>
      <c r="G46" t="str">
        <f t="shared" si="4"/>
        <v>Lacke &amp; Farben</v>
      </c>
      <c r="H46" t="str">
        <f t="shared" si="5"/>
        <v>LF</v>
      </c>
      <c r="I46">
        <f t="shared" si="6"/>
        <v>0</v>
      </c>
      <c r="J46" s="12">
        <f t="shared" si="3"/>
        <v>14479.653667786219</v>
      </c>
    </row>
    <row r="47" spans="1:10">
      <c r="A47" s="3" t="s">
        <v>46</v>
      </c>
      <c r="B47" s="10" t="s">
        <v>47</v>
      </c>
      <c r="C47" s="7" t="s">
        <v>48</v>
      </c>
      <c r="D47" s="5" t="s">
        <v>72</v>
      </c>
      <c r="E47" s="13" t="s">
        <v>64</v>
      </c>
      <c r="F47" s="11">
        <v>3.2294726297949987E-2</v>
      </c>
      <c r="G47" t="str">
        <f t="shared" si="4"/>
        <v>Lacke &amp; Farben</v>
      </c>
      <c r="H47" t="str">
        <f t="shared" si="5"/>
        <v>LF</v>
      </c>
      <c r="I47">
        <f t="shared" si="6"/>
        <v>0</v>
      </c>
      <c r="J47" s="12">
        <f t="shared" si="3"/>
        <v>39769.491424249165</v>
      </c>
    </row>
    <row r="48" spans="1:10">
      <c r="A48" s="3" t="s">
        <v>46</v>
      </c>
      <c r="B48" s="10" t="s">
        <v>47</v>
      </c>
      <c r="C48" s="7" t="s">
        <v>48</v>
      </c>
      <c r="D48" s="5" t="s">
        <v>72</v>
      </c>
      <c r="E48" s="13" t="s">
        <v>65</v>
      </c>
      <c r="F48" s="11">
        <v>5.1862102707121516E-3</v>
      </c>
      <c r="G48" t="str">
        <f t="shared" si="4"/>
        <v>Lacke &amp; Farben</v>
      </c>
      <c r="H48" t="str">
        <f t="shared" si="5"/>
        <v>LF</v>
      </c>
      <c r="I48">
        <f t="shared" si="6"/>
        <v>0</v>
      </c>
      <c r="J48" s="12">
        <f t="shared" si="3"/>
        <v>4244.3130022013711</v>
      </c>
    </row>
    <row r="49" spans="1:10">
      <c r="A49" s="3" t="s">
        <v>46</v>
      </c>
      <c r="B49" s="10" t="s">
        <v>47</v>
      </c>
      <c r="C49" s="7" t="s">
        <v>48</v>
      </c>
      <c r="D49" s="5" t="s">
        <v>72</v>
      </c>
      <c r="E49" s="13" t="s">
        <v>66</v>
      </c>
      <c r="F49" s="11">
        <v>5.4018180534927754E-2</v>
      </c>
      <c r="G49" t="str">
        <f t="shared" si="4"/>
        <v>Lacke &amp; Farben</v>
      </c>
      <c r="H49" t="str">
        <f t="shared" si="5"/>
        <v>LF</v>
      </c>
      <c r="I49">
        <f t="shared" si="6"/>
        <v>0</v>
      </c>
      <c r="J49" s="12">
        <f t="shared" si="3"/>
        <v>42502.230384841998</v>
      </c>
    </row>
    <row r="50" spans="1:10">
      <c r="A50" s="3" t="s">
        <v>46</v>
      </c>
      <c r="B50" s="9" t="s">
        <v>73</v>
      </c>
      <c r="C50" s="8" t="s">
        <v>53</v>
      </c>
      <c r="D50" s="5" t="s">
        <v>49</v>
      </c>
      <c r="E50" s="13" t="s">
        <v>50</v>
      </c>
      <c r="F50" s="11">
        <v>5.3581398627264409E-2</v>
      </c>
      <c r="G50" t="str">
        <f t="shared" si="4"/>
        <v>Flugzeuglackierungen</v>
      </c>
      <c r="H50" t="str">
        <f t="shared" si="5"/>
        <v>FL</v>
      </c>
      <c r="I50">
        <f t="shared" si="6"/>
        <v>18.656216558167817</v>
      </c>
      <c r="J50" s="12">
        <f t="shared" ref="J50:J66" si="7">INDEX($P$16:$AF$22,MATCH(H50,$P$16:$P$22,0),MATCH(E50,$P$16:$AF$16,0))*F50/I50</f>
        <v>5447.8237870176927</v>
      </c>
    </row>
    <row r="51" spans="1:10">
      <c r="A51" s="3" t="s">
        <v>46</v>
      </c>
      <c r="B51" s="9" t="s">
        <v>73</v>
      </c>
      <c r="C51" s="8" t="s">
        <v>53</v>
      </c>
      <c r="D51" s="5" t="s">
        <v>49</v>
      </c>
      <c r="E51" s="13" t="s">
        <v>52</v>
      </c>
      <c r="F51" s="11">
        <v>0.16087600860863052</v>
      </c>
      <c r="G51" t="str">
        <f t="shared" si="4"/>
        <v>Flugzeuglackierungen</v>
      </c>
      <c r="H51" t="str">
        <f t="shared" si="5"/>
        <v>FL</v>
      </c>
      <c r="I51">
        <f t="shared" si="6"/>
        <v>18.656216558167817</v>
      </c>
      <c r="J51" s="12">
        <f t="shared" si="7"/>
        <v>17192.397735752958</v>
      </c>
    </row>
    <row r="52" spans="1:10">
      <c r="A52" s="3" t="s">
        <v>46</v>
      </c>
      <c r="B52" s="9" t="s">
        <v>73</v>
      </c>
      <c r="C52" s="8" t="s">
        <v>53</v>
      </c>
      <c r="D52" s="5" t="s">
        <v>49</v>
      </c>
      <c r="E52" s="13" t="s">
        <v>54</v>
      </c>
      <c r="F52" s="11">
        <v>2.4058752257538823E-2</v>
      </c>
      <c r="G52" t="str">
        <f t="shared" si="4"/>
        <v>Flugzeuglackierungen</v>
      </c>
      <c r="H52" t="str">
        <f t="shared" si="5"/>
        <v>FL</v>
      </c>
      <c r="I52">
        <f t="shared" si="6"/>
        <v>18.656216558167817</v>
      </c>
      <c r="J52" s="12">
        <f t="shared" si="7"/>
        <v>3103.654689882831</v>
      </c>
    </row>
    <row r="53" spans="1:10">
      <c r="A53" s="3" t="s">
        <v>46</v>
      </c>
      <c r="B53" s="9" t="s">
        <v>73</v>
      </c>
      <c r="C53" s="8" t="s">
        <v>53</v>
      </c>
      <c r="D53" s="5" t="s">
        <v>49</v>
      </c>
      <c r="E53" s="13" t="s">
        <v>56</v>
      </c>
      <c r="F53" s="11">
        <v>2.3810975334428858E-2</v>
      </c>
      <c r="G53" t="str">
        <f t="shared" si="4"/>
        <v>Flugzeuglackierungen</v>
      </c>
      <c r="H53" t="str">
        <f t="shared" si="5"/>
        <v>FL</v>
      </c>
      <c r="I53">
        <f t="shared" si="6"/>
        <v>18.656216558167817</v>
      </c>
      <c r="J53" s="12">
        <f t="shared" si="7"/>
        <v>2166.5797516147518</v>
      </c>
    </row>
    <row r="54" spans="1:10">
      <c r="A54" s="3" t="s">
        <v>46</v>
      </c>
      <c r="B54" s="9" t="s">
        <v>73</v>
      </c>
      <c r="C54" s="8" t="s">
        <v>53</v>
      </c>
      <c r="D54" s="5" t="s">
        <v>49</v>
      </c>
      <c r="E54" s="13" t="s">
        <v>58</v>
      </c>
      <c r="F54" s="11">
        <v>0.24886577955083317</v>
      </c>
      <c r="G54" t="str">
        <f t="shared" si="4"/>
        <v>Flugzeuglackierungen</v>
      </c>
      <c r="H54" t="str">
        <f t="shared" si="5"/>
        <v>FL</v>
      </c>
      <c r="I54">
        <f t="shared" si="6"/>
        <v>18.656216558167817</v>
      </c>
      <c r="J54" s="12">
        <f t="shared" si="7"/>
        <v>28343.291426884618</v>
      </c>
    </row>
    <row r="55" spans="1:10">
      <c r="A55" s="3" t="s">
        <v>46</v>
      </c>
      <c r="B55" s="9" t="s">
        <v>73</v>
      </c>
      <c r="C55" s="8" t="s">
        <v>53</v>
      </c>
      <c r="D55" s="5" t="s">
        <v>49</v>
      </c>
      <c r="E55" s="13" t="s">
        <v>60</v>
      </c>
      <c r="F55" s="11">
        <v>5.5818680227811793E-2</v>
      </c>
      <c r="G55" t="str">
        <f t="shared" si="4"/>
        <v>Flugzeuglackierungen</v>
      </c>
      <c r="H55" t="str">
        <f t="shared" si="5"/>
        <v>FL</v>
      </c>
      <c r="I55">
        <f t="shared" si="6"/>
        <v>18.656216558167817</v>
      </c>
      <c r="J55" s="12">
        <f t="shared" si="7"/>
        <v>6311.4924170636423</v>
      </c>
    </row>
    <row r="56" spans="1:10">
      <c r="A56" s="3" t="s">
        <v>46</v>
      </c>
      <c r="B56" s="9" t="s">
        <v>73</v>
      </c>
      <c r="C56" s="8" t="s">
        <v>53</v>
      </c>
      <c r="D56" s="5" t="s">
        <v>49</v>
      </c>
      <c r="E56" s="13" t="s">
        <v>61</v>
      </c>
      <c r="F56" s="11">
        <v>0.21273673377913829</v>
      </c>
      <c r="G56" t="str">
        <f t="shared" si="4"/>
        <v>Flugzeuglackierungen</v>
      </c>
      <c r="H56" t="str">
        <f t="shared" si="5"/>
        <v>FL</v>
      </c>
      <c r="I56">
        <f t="shared" si="6"/>
        <v>18.656216558167817</v>
      </c>
      <c r="J56" s="12">
        <f t="shared" si="7"/>
        <v>23854.087347587596</v>
      </c>
    </row>
    <row r="57" spans="1:10">
      <c r="A57" s="3" t="s">
        <v>46</v>
      </c>
      <c r="B57" s="9" t="s">
        <v>73</v>
      </c>
      <c r="C57" s="8" t="s">
        <v>53</v>
      </c>
      <c r="D57" s="5" t="s">
        <v>49</v>
      </c>
      <c r="E57" s="13" t="s">
        <v>62</v>
      </c>
      <c r="F57" s="11">
        <v>0.14306637714850118</v>
      </c>
      <c r="G57" t="str">
        <f t="shared" si="4"/>
        <v>Flugzeuglackierungen</v>
      </c>
      <c r="H57" t="str">
        <f t="shared" si="5"/>
        <v>FL</v>
      </c>
      <c r="I57">
        <f t="shared" si="6"/>
        <v>18.656216558167817</v>
      </c>
      <c r="J57" s="12">
        <f t="shared" si="7"/>
        <v>12700.242769592791</v>
      </c>
    </row>
    <row r="58" spans="1:10">
      <c r="A58" s="3" t="s">
        <v>46</v>
      </c>
      <c r="B58" s="9" t="s">
        <v>73</v>
      </c>
      <c r="C58" s="8" t="s">
        <v>53</v>
      </c>
      <c r="D58" s="5" t="s">
        <v>49</v>
      </c>
      <c r="E58" s="13" t="s">
        <v>63</v>
      </c>
      <c r="F58" s="11">
        <v>2.6863941936323008E-2</v>
      </c>
      <c r="G58" t="str">
        <f t="shared" si="4"/>
        <v>Flugzeuglackierungen</v>
      </c>
      <c r="H58" t="str">
        <f t="shared" si="5"/>
        <v>FL</v>
      </c>
      <c r="I58">
        <f t="shared" si="6"/>
        <v>18.656216558167817</v>
      </c>
      <c r="J58" s="12">
        <f t="shared" si="7"/>
        <v>3367.0661925806476</v>
      </c>
    </row>
    <row r="59" spans="1:10">
      <c r="A59" s="3" t="s">
        <v>46</v>
      </c>
      <c r="B59" s="9" t="s">
        <v>73</v>
      </c>
      <c r="C59" s="8" t="s">
        <v>53</v>
      </c>
      <c r="D59" s="5" t="s">
        <v>49</v>
      </c>
      <c r="E59" s="13" t="s">
        <v>64</v>
      </c>
      <c r="F59" s="11">
        <v>2.4785062965357159E-2</v>
      </c>
      <c r="G59" t="str">
        <f t="shared" si="4"/>
        <v>Flugzeuglackierungen</v>
      </c>
      <c r="H59" t="str">
        <f t="shared" si="5"/>
        <v>FL</v>
      </c>
      <c r="I59">
        <f t="shared" si="6"/>
        <v>18.656216558167817</v>
      </c>
      <c r="J59" s="12">
        <f t="shared" si="7"/>
        <v>2691.5851132317403</v>
      </c>
    </row>
    <row r="60" spans="1:10">
      <c r="A60" s="3" t="s">
        <v>46</v>
      </c>
      <c r="B60" s="9" t="s">
        <v>73</v>
      </c>
      <c r="C60" s="8" t="s">
        <v>53</v>
      </c>
      <c r="D60" s="5" t="s">
        <v>49</v>
      </c>
      <c r="E60" s="13" t="s">
        <v>65</v>
      </c>
      <c r="F60" s="11">
        <v>2.8033810601669464E-2</v>
      </c>
      <c r="G60" t="str">
        <f t="shared" si="4"/>
        <v>Flugzeuglackierungen</v>
      </c>
      <c r="H60" t="str">
        <f t="shared" si="5"/>
        <v>FL</v>
      </c>
      <c r="I60">
        <f t="shared" si="6"/>
        <v>18.656216558167817</v>
      </c>
      <c r="J60" s="12">
        <f t="shared" si="7"/>
        <v>3757.3534835478831</v>
      </c>
    </row>
    <row r="61" spans="1:10">
      <c r="A61" s="3" t="s">
        <v>46</v>
      </c>
      <c r="B61" s="9" t="s">
        <v>73</v>
      </c>
      <c r="C61" s="8" t="s">
        <v>53</v>
      </c>
      <c r="D61" s="5" t="s">
        <v>49</v>
      </c>
      <c r="E61" s="13" t="s">
        <v>66</v>
      </c>
      <c r="F61" s="11">
        <v>3.5559544462590596E-2</v>
      </c>
      <c r="G61" t="str">
        <f t="shared" si="4"/>
        <v>Flugzeuglackierungen</v>
      </c>
      <c r="H61" t="str">
        <f t="shared" si="5"/>
        <v>FL</v>
      </c>
      <c r="I61">
        <f t="shared" si="6"/>
        <v>18.656216558167817</v>
      </c>
      <c r="J61" s="12">
        <f t="shared" si="7"/>
        <v>3925.3679334412686</v>
      </c>
    </row>
    <row r="62" spans="1:10">
      <c r="A62" s="3" t="s">
        <v>46</v>
      </c>
      <c r="B62" s="9" t="s">
        <v>73</v>
      </c>
      <c r="C62" s="8" t="s">
        <v>53</v>
      </c>
      <c r="D62" s="5" t="s">
        <v>67</v>
      </c>
      <c r="E62" s="13" t="s">
        <v>50</v>
      </c>
      <c r="F62" s="11">
        <v>9.6886866084447808E-3</v>
      </c>
      <c r="G62" t="str">
        <f t="shared" si="4"/>
        <v>Flugzeuglackierungen</v>
      </c>
      <c r="H62" t="str">
        <f t="shared" si="5"/>
        <v>FL</v>
      </c>
      <c r="I62">
        <f t="shared" si="6"/>
        <v>18.656216558167817</v>
      </c>
      <c r="J62" s="12">
        <f t="shared" si="7"/>
        <v>985.08547224796564</v>
      </c>
    </row>
    <row r="63" spans="1:10">
      <c r="A63" s="3" t="s">
        <v>46</v>
      </c>
      <c r="B63" s="9" t="s">
        <v>73</v>
      </c>
      <c r="C63" s="8" t="s">
        <v>53</v>
      </c>
      <c r="D63" s="5" t="s">
        <v>67</v>
      </c>
      <c r="E63" s="13" t="s">
        <v>52</v>
      </c>
      <c r="F63" s="11">
        <v>1.9500208354372137E-2</v>
      </c>
      <c r="G63" t="str">
        <f t="shared" si="4"/>
        <v>Flugzeuglackierungen</v>
      </c>
      <c r="H63" t="str">
        <f t="shared" si="5"/>
        <v>FL</v>
      </c>
      <c r="I63">
        <f t="shared" si="6"/>
        <v>18.656216558167817</v>
      </c>
      <c r="J63" s="12">
        <f t="shared" si="7"/>
        <v>2083.9361994242877</v>
      </c>
    </row>
    <row r="64" spans="1:10">
      <c r="A64" s="3" t="s">
        <v>46</v>
      </c>
      <c r="B64" s="9" t="s">
        <v>73</v>
      </c>
      <c r="C64" s="8" t="s">
        <v>53</v>
      </c>
      <c r="D64" s="5" t="s">
        <v>67</v>
      </c>
      <c r="E64" s="13" t="s">
        <v>54</v>
      </c>
      <c r="F64" s="11">
        <v>3.6759963031947916E-2</v>
      </c>
      <c r="G64" t="str">
        <f t="shared" si="4"/>
        <v>Flugzeuglackierungen</v>
      </c>
      <c r="H64" t="str">
        <f t="shared" si="5"/>
        <v>FL</v>
      </c>
      <c r="I64">
        <f t="shared" si="6"/>
        <v>18.656216558167817</v>
      </c>
      <c r="J64" s="12">
        <f t="shared" si="7"/>
        <v>4742.150816581704</v>
      </c>
    </row>
    <row r="65" spans="1:10">
      <c r="A65" s="3" t="s">
        <v>46</v>
      </c>
      <c r="B65" s="9" t="s">
        <v>73</v>
      </c>
      <c r="C65" s="8" t="s">
        <v>53</v>
      </c>
      <c r="D65" s="5" t="s">
        <v>67</v>
      </c>
      <c r="E65" s="13" t="s">
        <v>56</v>
      </c>
      <c r="F65" s="11">
        <v>6.7039417006095184E-2</v>
      </c>
      <c r="G65" t="str">
        <f t="shared" si="4"/>
        <v>Flugzeuglackierungen</v>
      </c>
      <c r="H65" t="str">
        <f t="shared" si="5"/>
        <v>FL</v>
      </c>
      <c r="I65">
        <f t="shared" si="6"/>
        <v>18.656216558167817</v>
      </c>
      <c r="J65" s="12">
        <f t="shared" si="7"/>
        <v>6099.9703458366293</v>
      </c>
    </row>
    <row r="66" spans="1:10">
      <c r="A66" s="3" t="s">
        <v>46</v>
      </c>
      <c r="B66" s="9" t="s">
        <v>73</v>
      </c>
      <c r="C66" s="8" t="s">
        <v>53</v>
      </c>
      <c r="D66" s="5" t="s">
        <v>67</v>
      </c>
      <c r="E66" s="13" t="s">
        <v>58</v>
      </c>
      <c r="F66" s="11">
        <v>0.40135383015094578</v>
      </c>
      <c r="G66" t="str">
        <f t="shared" si="4"/>
        <v>Flugzeuglackierungen</v>
      </c>
      <c r="H66" t="str">
        <f t="shared" si="5"/>
        <v>FL</v>
      </c>
      <c r="I66">
        <f t="shared" si="6"/>
        <v>18.656216558167817</v>
      </c>
      <c r="J66" s="12">
        <f t="shared" si="7"/>
        <v>45710.135775983683</v>
      </c>
    </row>
    <row r="67" spans="1:10">
      <c r="A67" s="3" t="s">
        <v>46</v>
      </c>
      <c r="B67" s="9" t="s">
        <v>73</v>
      </c>
      <c r="C67" s="8" t="s">
        <v>53</v>
      </c>
      <c r="D67" s="5" t="s">
        <v>67</v>
      </c>
      <c r="E67" s="13" t="s">
        <v>60</v>
      </c>
      <c r="F67" s="11">
        <v>6.0680031383580687E-3</v>
      </c>
      <c r="G67" t="str">
        <f t="shared" si="4"/>
        <v>Flugzeuglackierungen</v>
      </c>
      <c r="H67" t="str">
        <f t="shared" si="5"/>
        <v>FL</v>
      </c>
      <c r="I67">
        <f t="shared" si="6"/>
        <v>18.656216558167817</v>
      </c>
      <c r="J67" s="12">
        <f t="shared" ref="J67:J130" si="8">INDEX($P$16:$AF$22,MATCH(H67,$P$16:$P$22,0),MATCH(E67,$P$16:$AF$16,0))*F67/I67</f>
        <v>686.11718582667572</v>
      </c>
    </row>
    <row r="68" spans="1:10">
      <c r="A68" s="3" t="s">
        <v>46</v>
      </c>
      <c r="B68" s="9" t="s">
        <v>73</v>
      </c>
      <c r="C68" s="8" t="s">
        <v>53</v>
      </c>
      <c r="D68" s="5" t="s">
        <v>67</v>
      </c>
      <c r="E68" s="13" t="s">
        <v>61</v>
      </c>
      <c r="F68" s="11">
        <v>0.40175154571947763</v>
      </c>
      <c r="G68" t="str">
        <f t="shared" si="4"/>
        <v>Flugzeuglackierungen</v>
      </c>
      <c r="H68" t="str">
        <f t="shared" si="5"/>
        <v>FL</v>
      </c>
      <c r="I68">
        <f t="shared" si="6"/>
        <v>18.656216558167817</v>
      </c>
      <c r="J68" s="12">
        <f t="shared" si="8"/>
        <v>45048.244811214332</v>
      </c>
    </row>
    <row r="69" spans="1:10">
      <c r="A69" s="3" t="s">
        <v>46</v>
      </c>
      <c r="B69" s="9" t="s">
        <v>73</v>
      </c>
      <c r="C69" s="8" t="s">
        <v>53</v>
      </c>
      <c r="D69" s="5" t="s">
        <v>67</v>
      </c>
      <c r="E69" s="13" t="s">
        <v>62</v>
      </c>
      <c r="F69" s="11">
        <v>0.47009599629441695</v>
      </c>
      <c r="G69" t="str">
        <f t="shared" si="4"/>
        <v>Flugzeuglackierungen</v>
      </c>
      <c r="H69" t="str">
        <f t="shared" si="5"/>
        <v>FL</v>
      </c>
      <c r="I69">
        <f t="shared" si="6"/>
        <v>18.656216558167817</v>
      </c>
      <c r="J69" s="12">
        <f t="shared" si="8"/>
        <v>41731.211742054205</v>
      </c>
    </row>
    <row r="70" spans="1:10">
      <c r="A70" s="3" t="s">
        <v>46</v>
      </c>
      <c r="B70" s="9" t="s">
        <v>73</v>
      </c>
      <c r="C70" s="8" t="s">
        <v>53</v>
      </c>
      <c r="D70" s="5" t="s">
        <v>67</v>
      </c>
      <c r="E70" s="13" t="s">
        <v>63</v>
      </c>
      <c r="F70" s="11">
        <v>6.8857536088320445E-2</v>
      </c>
      <c r="G70" t="str">
        <f t="shared" si="4"/>
        <v>Flugzeuglackierungen</v>
      </c>
      <c r="H70" t="str">
        <f t="shared" si="5"/>
        <v>FL</v>
      </c>
      <c r="I70">
        <f t="shared" si="6"/>
        <v>18.656216558167817</v>
      </c>
      <c r="J70" s="12">
        <f t="shared" si="8"/>
        <v>8630.4490389737548</v>
      </c>
    </row>
    <row r="71" spans="1:10">
      <c r="A71" s="3" t="s">
        <v>46</v>
      </c>
      <c r="B71" s="9" t="s">
        <v>73</v>
      </c>
      <c r="C71" s="8" t="s">
        <v>53</v>
      </c>
      <c r="D71" s="5" t="s">
        <v>67</v>
      </c>
      <c r="E71" s="13" t="s">
        <v>64</v>
      </c>
      <c r="F71" s="11">
        <v>5.5539819156869501E-2</v>
      </c>
      <c r="G71" t="str">
        <f t="shared" si="4"/>
        <v>Flugzeuglackierungen</v>
      </c>
      <c r="H71" t="str">
        <f t="shared" si="5"/>
        <v>FL</v>
      </c>
      <c r="I71">
        <f t="shared" si="6"/>
        <v>18.656216558167817</v>
      </c>
      <c r="J71" s="12">
        <f t="shared" si="8"/>
        <v>6031.4613944358325</v>
      </c>
    </row>
    <row r="72" spans="1:10">
      <c r="A72" s="3" t="s">
        <v>46</v>
      </c>
      <c r="B72" s="9" t="s">
        <v>73</v>
      </c>
      <c r="C72" s="8" t="s">
        <v>53</v>
      </c>
      <c r="D72" s="5" t="s">
        <v>67</v>
      </c>
      <c r="E72" s="13" t="s">
        <v>65</v>
      </c>
      <c r="F72" s="11">
        <v>0.14805516285111381</v>
      </c>
      <c r="G72" t="str">
        <f t="shared" si="4"/>
        <v>Flugzeuglackierungen</v>
      </c>
      <c r="H72" t="str">
        <f t="shared" si="5"/>
        <v>FL</v>
      </c>
      <c r="I72">
        <f t="shared" si="6"/>
        <v>18.656216558167817</v>
      </c>
      <c r="J72" s="12">
        <f t="shared" si="8"/>
        <v>19843.737613849513</v>
      </c>
    </row>
    <row r="73" spans="1:10">
      <c r="A73" s="3" t="s">
        <v>46</v>
      </c>
      <c r="B73" s="9" t="s">
        <v>73</v>
      </c>
      <c r="C73" s="8" t="s">
        <v>53</v>
      </c>
      <c r="D73" s="5" t="s">
        <v>67</v>
      </c>
      <c r="E73" s="13" t="s">
        <v>66</v>
      </c>
      <c r="F73" s="11">
        <v>1.014404856986926E-2</v>
      </c>
      <c r="G73" t="str">
        <f t="shared" si="4"/>
        <v>Flugzeuglackierungen</v>
      </c>
      <c r="H73" t="str">
        <f t="shared" si="5"/>
        <v>FL</v>
      </c>
      <c r="I73">
        <f t="shared" si="6"/>
        <v>18.656216558167817</v>
      </c>
      <c r="J73" s="12">
        <f t="shared" si="8"/>
        <v>1119.7872068728589</v>
      </c>
    </row>
    <row r="74" spans="1:10">
      <c r="A74" s="3" t="s">
        <v>46</v>
      </c>
      <c r="B74" s="9" t="s">
        <v>73</v>
      </c>
      <c r="C74" s="8" t="s">
        <v>53</v>
      </c>
      <c r="D74" s="5" t="s">
        <v>71</v>
      </c>
      <c r="E74" s="13" t="s">
        <v>50</v>
      </c>
      <c r="F74" s="11">
        <v>0.86844105973463392</v>
      </c>
      <c r="G74" t="str">
        <f t="shared" si="4"/>
        <v>Flugzeuglackierungen</v>
      </c>
      <c r="H74" t="str">
        <f t="shared" si="5"/>
        <v>FL</v>
      </c>
      <c r="I74">
        <f t="shared" si="6"/>
        <v>18.656216558167817</v>
      </c>
      <c r="J74" s="12">
        <f t="shared" si="8"/>
        <v>88297.692558510549</v>
      </c>
    </row>
    <row r="75" spans="1:10">
      <c r="A75" s="3" t="s">
        <v>46</v>
      </c>
      <c r="B75" s="9" t="s">
        <v>73</v>
      </c>
      <c r="C75" s="8" t="s">
        <v>53</v>
      </c>
      <c r="D75" s="5" t="s">
        <v>71</v>
      </c>
      <c r="E75" s="13" t="s">
        <v>52</v>
      </c>
      <c r="F75" s="11">
        <v>0.41605285157028249</v>
      </c>
      <c r="G75" t="str">
        <f t="shared" si="4"/>
        <v>Flugzeuglackierungen</v>
      </c>
      <c r="H75" t="str">
        <f t="shared" si="5"/>
        <v>FL</v>
      </c>
      <c r="I75">
        <f t="shared" si="6"/>
        <v>18.656216558167817</v>
      </c>
      <c r="J75" s="12">
        <f t="shared" si="8"/>
        <v>44462.47868252216</v>
      </c>
    </row>
    <row r="76" spans="1:10">
      <c r="A76" s="3" t="s">
        <v>46</v>
      </c>
      <c r="B76" s="9" t="s">
        <v>73</v>
      </c>
      <c r="C76" s="8" t="s">
        <v>53</v>
      </c>
      <c r="D76" s="5" t="s">
        <v>71</v>
      </c>
      <c r="E76" s="13" t="s">
        <v>54</v>
      </c>
      <c r="F76" s="11">
        <v>0.93843458715490502</v>
      </c>
      <c r="G76" t="str">
        <f t="shared" si="4"/>
        <v>Flugzeuglackierungen</v>
      </c>
      <c r="H76" t="str">
        <f t="shared" si="5"/>
        <v>FL</v>
      </c>
      <c r="I76">
        <f t="shared" si="6"/>
        <v>18.656216558167817</v>
      </c>
      <c r="J76" s="12">
        <f t="shared" si="8"/>
        <v>121061.01249115785</v>
      </c>
    </row>
    <row r="77" spans="1:10">
      <c r="A77" s="3" t="s">
        <v>46</v>
      </c>
      <c r="B77" s="9" t="s">
        <v>73</v>
      </c>
      <c r="C77" s="8" t="s">
        <v>53</v>
      </c>
      <c r="D77" s="5" t="s">
        <v>71</v>
      </c>
      <c r="E77" s="13" t="s">
        <v>56</v>
      </c>
      <c r="F77" s="11">
        <v>0.88751706595390878</v>
      </c>
      <c r="G77" t="str">
        <f t="shared" si="4"/>
        <v>Flugzeuglackierungen</v>
      </c>
      <c r="H77" t="str">
        <f t="shared" si="5"/>
        <v>FL</v>
      </c>
      <c r="I77">
        <f t="shared" si="6"/>
        <v>18.656216558167817</v>
      </c>
      <c r="J77" s="12">
        <f t="shared" si="8"/>
        <v>80755.889975155267</v>
      </c>
    </row>
    <row r="78" spans="1:10">
      <c r="A78" s="3" t="s">
        <v>46</v>
      </c>
      <c r="B78" s="9" t="s">
        <v>73</v>
      </c>
      <c r="C78" s="8" t="s">
        <v>53</v>
      </c>
      <c r="D78" s="5" t="s">
        <v>71</v>
      </c>
      <c r="E78" s="13" t="s">
        <v>58</v>
      </c>
      <c r="F78" s="11">
        <v>0.34071945302908185</v>
      </c>
      <c r="G78" t="str">
        <f t="shared" si="4"/>
        <v>Flugzeuglackierungen</v>
      </c>
      <c r="H78" t="str">
        <f t="shared" si="5"/>
        <v>FL</v>
      </c>
      <c r="I78">
        <f t="shared" si="6"/>
        <v>18.656216558167817</v>
      </c>
      <c r="J78" s="12">
        <f t="shared" si="8"/>
        <v>38804.494412376356</v>
      </c>
    </row>
    <row r="79" spans="1:10">
      <c r="A79" s="3" t="s">
        <v>46</v>
      </c>
      <c r="B79" s="9" t="s">
        <v>73</v>
      </c>
      <c r="C79" s="8" t="s">
        <v>53</v>
      </c>
      <c r="D79" s="5" t="s">
        <v>71</v>
      </c>
      <c r="E79" s="13" t="s">
        <v>60</v>
      </c>
      <c r="F79" s="11">
        <v>0.93622080628245763</v>
      </c>
      <c r="G79" t="str">
        <f t="shared" si="4"/>
        <v>Flugzeuglackierungen</v>
      </c>
      <c r="H79" t="str">
        <f t="shared" si="5"/>
        <v>FL</v>
      </c>
      <c r="I79">
        <f t="shared" si="6"/>
        <v>18.656216558167817</v>
      </c>
      <c r="J79" s="12">
        <f t="shared" si="8"/>
        <v>105859.73182154872</v>
      </c>
    </row>
    <row r="80" spans="1:10">
      <c r="A80" s="3" t="s">
        <v>46</v>
      </c>
      <c r="B80" s="9" t="s">
        <v>73</v>
      </c>
      <c r="C80" s="8" t="s">
        <v>53</v>
      </c>
      <c r="D80" s="5" t="s">
        <v>71</v>
      </c>
      <c r="E80" s="13" t="s">
        <v>61</v>
      </c>
      <c r="F80" s="11">
        <v>0.27619157200628813</v>
      </c>
      <c r="G80" t="str">
        <f t="shared" si="4"/>
        <v>Flugzeuglackierungen</v>
      </c>
      <c r="H80" t="str">
        <f t="shared" si="5"/>
        <v>FL</v>
      </c>
      <c r="I80">
        <f t="shared" si="6"/>
        <v>18.656216558167817</v>
      </c>
      <c r="J80" s="12">
        <f t="shared" si="8"/>
        <v>30969.253716875472</v>
      </c>
    </row>
    <row r="81" spans="1:10">
      <c r="A81" s="3" t="s">
        <v>46</v>
      </c>
      <c r="B81" s="9" t="s">
        <v>73</v>
      </c>
      <c r="C81" s="8" t="s">
        <v>53</v>
      </c>
      <c r="D81" s="5" t="s">
        <v>71</v>
      </c>
      <c r="E81" s="13" t="s">
        <v>62</v>
      </c>
      <c r="F81" s="11">
        <v>0.35670932278291373</v>
      </c>
      <c r="G81" t="str">
        <f t="shared" si="4"/>
        <v>Flugzeuglackierungen</v>
      </c>
      <c r="H81" t="str">
        <f t="shared" si="5"/>
        <v>FL</v>
      </c>
      <c r="I81">
        <f t="shared" si="6"/>
        <v>18.656216558167817</v>
      </c>
      <c r="J81" s="12">
        <f t="shared" si="8"/>
        <v>31665.686150825284</v>
      </c>
    </row>
    <row r="82" spans="1:10">
      <c r="A82" s="3" t="s">
        <v>46</v>
      </c>
      <c r="B82" s="9" t="s">
        <v>73</v>
      </c>
      <c r="C82" s="8" t="s">
        <v>53</v>
      </c>
      <c r="D82" s="5" t="s">
        <v>71</v>
      </c>
      <c r="E82" s="13" t="s">
        <v>63</v>
      </c>
      <c r="F82" s="11">
        <v>0.83219552566790467</v>
      </c>
      <c r="G82" t="str">
        <f t="shared" si="4"/>
        <v>Flugzeuglackierungen</v>
      </c>
      <c r="H82" t="str">
        <f t="shared" si="5"/>
        <v>FL</v>
      </c>
      <c r="I82">
        <f t="shared" si="6"/>
        <v>18.656216558167817</v>
      </c>
      <c r="J82" s="12">
        <f t="shared" si="8"/>
        <v>104305.51952260558</v>
      </c>
    </row>
    <row r="83" spans="1:10">
      <c r="A83" s="3" t="s">
        <v>46</v>
      </c>
      <c r="B83" s="9" t="s">
        <v>73</v>
      </c>
      <c r="C83" s="8" t="s">
        <v>53</v>
      </c>
      <c r="D83" s="5" t="s">
        <v>71</v>
      </c>
      <c r="E83" s="13" t="s">
        <v>64</v>
      </c>
      <c r="F83" s="11">
        <v>0.82117824343084644</v>
      </c>
      <c r="G83" t="str">
        <f t="shared" si="4"/>
        <v>Flugzeuglackierungen</v>
      </c>
      <c r="H83" t="str">
        <f t="shared" si="5"/>
        <v>FL</v>
      </c>
      <c r="I83">
        <f t="shared" si="6"/>
        <v>18.656216558167817</v>
      </c>
      <c r="J83" s="12">
        <f t="shared" si="8"/>
        <v>89177.547719673748</v>
      </c>
    </row>
    <row r="84" spans="1:10">
      <c r="A84" s="3" t="s">
        <v>46</v>
      </c>
      <c r="B84" s="9" t="s">
        <v>73</v>
      </c>
      <c r="C84" s="8" t="s">
        <v>53</v>
      </c>
      <c r="D84" s="5" t="s">
        <v>71</v>
      </c>
      <c r="E84" s="13" t="s">
        <v>65</v>
      </c>
      <c r="F84" s="11">
        <v>0.81582511599741503</v>
      </c>
      <c r="G84" t="str">
        <f t="shared" si="4"/>
        <v>Flugzeuglackierungen</v>
      </c>
      <c r="H84" t="str">
        <f t="shared" si="5"/>
        <v>FL</v>
      </c>
      <c r="I84">
        <f t="shared" si="6"/>
        <v>18.656216558167817</v>
      </c>
      <c r="J84" s="12">
        <f t="shared" si="8"/>
        <v>109344.51206487769</v>
      </c>
    </row>
    <row r="85" spans="1:10">
      <c r="A85" s="3" t="s">
        <v>46</v>
      </c>
      <c r="B85" s="9" t="s">
        <v>73</v>
      </c>
      <c r="C85" s="8" t="s">
        <v>53</v>
      </c>
      <c r="D85" s="5" t="s">
        <v>71</v>
      </c>
      <c r="E85" s="13" t="s">
        <v>66</v>
      </c>
      <c r="F85" s="11">
        <v>0.78645868990128642</v>
      </c>
      <c r="G85" t="str">
        <f t="shared" si="4"/>
        <v>Flugzeuglackierungen</v>
      </c>
      <c r="H85" t="str">
        <f t="shared" si="5"/>
        <v>FL</v>
      </c>
      <c r="I85">
        <f t="shared" si="6"/>
        <v>18.656216558167817</v>
      </c>
      <c r="J85" s="12">
        <f t="shared" si="8"/>
        <v>86816.064968505918</v>
      </c>
    </row>
    <row r="86" spans="1:10">
      <c r="A86" s="3" t="s">
        <v>46</v>
      </c>
      <c r="B86" s="9" t="s">
        <v>73</v>
      </c>
      <c r="C86" s="8" t="s">
        <v>53</v>
      </c>
      <c r="D86" s="5" t="s">
        <v>72</v>
      </c>
      <c r="E86" s="13" t="s">
        <v>50</v>
      </c>
      <c r="F86" s="11">
        <v>6.8288855029656856E-2</v>
      </c>
      <c r="G86" t="str">
        <f t="shared" ref="G86:G149" si="9">_xlfn.XLOOKUP(C86,$V$2:$V$7,$T$2:$T$7)</f>
        <v>Flugzeuglackierungen</v>
      </c>
      <c r="H86" t="str">
        <f t="shared" ref="H86:H149" si="10">_xlfn.XLOOKUP(C86,$V$2:$V$7,$S$2:$S$7)</f>
        <v>FL</v>
      </c>
      <c r="I86">
        <f t="shared" ref="I86:I149" si="11">_xlfn.XLOOKUP(C86,$V$2:$V$7,$U$2:$U$7)</f>
        <v>18.656216558167817</v>
      </c>
      <c r="J86" s="12">
        <f t="shared" si="8"/>
        <v>6943.1865973999711</v>
      </c>
    </row>
    <row r="87" spans="1:10">
      <c r="A87" s="3" t="s">
        <v>46</v>
      </c>
      <c r="B87" s="9" t="s">
        <v>73</v>
      </c>
      <c r="C87" s="8" t="s">
        <v>53</v>
      </c>
      <c r="D87" s="5" t="s">
        <v>72</v>
      </c>
      <c r="E87" s="13" t="s">
        <v>52</v>
      </c>
      <c r="F87" s="11">
        <v>0.4035709314667148</v>
      </c>
      <c r="G87" t="str">
        <f t="shared" si="9"/>
        <v>Flugzeuglackierungen</v>
      </c>
      <c r="H87" t="str">
        <f t="shared" si="10"/>
        <v>FL</v>
      </c>
      <c r="I87">
        <f t="shared" si="11"/>
        <v>18.656216558167817</v>
      </c>
      <c r="J87" s="12">
        <f t="shared" si="8"/>
        <v>43128.568568873838</v>
      </c>
    </row>
    <row r="88" spans="1:10">
      <c r="A88" s="3" t="s">
        <v>46</v>
      </c>
      <c r="B88" s="9" t="s">
        <v>73</v>
      </c>
      <c r="C88" s="8" t="s">
        <v>53</v>
      </c>
      <c r="D88" s="5" t="s">
        <v>72</v>
      </c>
      <c r="E88" s="13" t="s">
        <v>54</v>
      </c>
      <c r="F88" s="11">
        <v>7.466975556082462E-4</v>
      </c>
      <c r="G88" t="str">
        <f t="shared" si="9"/>
        <v>Flugzeuglackierungen</v>
      </c>
      <c r="H88" t="str">
        <f t="shared" si="10"/>
        <v>FL</v>
      </c>
      <c r="I88">
        <f t="shared" si="11"/>
        <v>18.656216558167817</v>
      </c>
      <c r="J88" s="12">
        <f t="shared" si="8"/>
        <v>96.326332537107874</v>
      </c>
    </row>
    <row r="89" spans="1:10">
      <c r="A89" s="3" t="s">
        <v>46</v>
      </c>
      <c r="B89" s="9" t="s">
        <v>73</v>
      </c>
      <c r="C89" s="8" t="s">
        <v>53</v>
      </c>
      <c r="D89" s="5" t="s">
        <v>72</v>
      </c>
      <c r="E89" s="13" t="s">
        <v>56</v>
      </c>
      <c r="F89" s="11">
        <v>2.163254170556719E-2</v>
      </c>
      <c r="G89" t="str">
        <f t="shared" si="9"/>
        <v>Flugzeuglackierungen</v>
      </c>
      <c r="H89" t="str">
        <f t="shared" si="10"/>
        <v>FL</v>
      </c>
      <c r="I89">
        <f t="shared" si="11"/>
        <v>18.656216558167817</v>
      </c>
      <c r="J89" s="12">
        <f t="shared" si="8"/>
        <v>1968.3623277487104</v>
      </c>
    </row>
    <row r="90" spans="1:10">
      <c r="A90" s="3" t="s">
        <v>46</v>
      </c>
      <c r="B90" s="9" t="s">
        <v>73</v>
      </c>
      <c r="C90" s="8" t="s">
        <v>53</v>
      </c>
      <c r="D90" s="5" t="s">
        <v>72</v>
      </c>
      <c r="E90" s="13" t="s">
        <v>58</v>
      </c>
      <c r="F90" s="11">
        <v>9.0609372691392506E-3</v>
      </c>
      <c r="G90" t="str">
        <f t="shared" si="9"/>
        <v>Flugzeuglackierungen</v>
      </c>
      <c r="H90" t="str">
        <f t="shared" si="10"/>
        <v>FL</v>
      </c>
      <c r="I90">
        <f t="shared" si="11"/>
        <v>18.656216558167817</v>
      </c>
      <c r="J90" s="12">
        <f t="shared" si="8"/>
        <v>1031.9489729903851</v>
      </c>
    </row>
    <row r="91" spans="1:10">
      <c r="A91" s="3" t="s">
        <v>46</v>
      </c>
      <c r="B91" s="9" t="s">
        <v>73</v>
      </c>
      <c r="C91" s="8" t="s">
        <v>53</v>
      </c>
      <c r="D91" s="5" t="s">
        <v>72</v>
      </c>
      <c r="E91" s="13" t="s">
        <v>60</v>
      </c>
      <c r="F91" s="11">
        <v>1.8925103513725893E-3</v>
      </c>
      <c r="G91" t="str">
        <f t="shared" si="9"/>
        <v>Flugzeuglackierungen</v>
      </c>
      <c r="H91" t="str">
        <f t="shared" si="10"/>
        <v>FL</v>
      </c>
      <c r="I91">
        <f t="shared" si="11"/>
        <v>18.656216558167817</v>
      </c>
      <c r="J91" s="12">
        <f t="shared" si="8"/>
        <v>213.98866263325118</v>
      </c>
    </row>
    <row r="92" spans="1:10">
      <c r="A92" s="3" t="s">
        <v>46</v>
      </c>
      <c r="B92" s="9" t="s">
        <v>73</v>
      </c>
      <c r="C92" s="8" t="s">
        <v>53</v>
      </c>
      <c r="D92" s="5" t="s">
        <v>72</v>
      </c>
      <c r="E92" s="13" t="s">
        <v>61</v>
      </c>
      <c r="F92" s="11">
        <v>0.10932014849509596</v>
      </c>
      <c r="G92" t="str">
        <f t="shared" si="9"/>
        <v>Flugzeuglackierungen</v>
      </c>
      <c r="H92" t="str">
        <f t="shared" si="10"/>
        <v>FL</v>
      </c>
      <c r="I92">
        <f t="shared" si="11"/>
        <v>18.656216558167817</v>
      </c>
      <c r="J92" s="12">
        <f t="shared" si="8"/>
        <v>12258.025798969886</v>
      </c>
    </row>
    <row r="93" spans="1:10">
      <c r="A93" s="3" t="s">
        <v>46</v>
      </c>
      <c r="B93" s="9" t="s">
        <v>73</v>
      </c>
      <c r="C93" s="8" t="s">
        <v>53</v>
      </c>
      <c r="D93" s="5" t="s">
        <v>72</v>
      </c>
      <c r="E93" s="13" t="s">
        <v>62</v>
      </c>
      <c r="F93" s="11">
        <v>3.0128303774168103E-2</v>
      </c>
      <c r="G93" t="str">
        <f t="shared" si="9"/>
        <v>Flugzeuglackierungen</v>
      </c>
      <c r="H93" t="str">
        <f t="shared" si="10"/>
        <v>FL</v>
      </c>
      <c r="I93">
        <f t="shared" si="11"/>
        <v>18.656216558167817</v>
      </c>
      <c r="J93" s="12">
        <f t="shared" si="8"/>
        <v>2674.5401665605978</v>
      </c>
    </row>
    <row r="94" spans="1:10">
      <c r="A94" s="3" t="s">
        <v>46</v>
      </c>
      <c r="B94" s="9" t="s">
        <v>73</v>
      </c>
      <c r="C94" s="8" t="s">
        <v>53</v>
      </c>
      <c r="D94" s="5" t="s">
        <v>72</v>
      </c>
      <c r="E94" s="13" t="s">
        <v>63</v>
      </c>
      <c r="F94" s="11">
        <v>7.2082996307451921E-2</v>
      </c>
      <c r="G94" t="str">
        <f t="shared" si="9"/>
        <v>Flugzeuglackierungen</v>
      </c>
      <c r="H94" t="str">
        <f t="shared" si="10"/>
        <v>FL</v>
      </c>
      <c r="I94">
        <f t="shared" si="11"/>
        <v>18.656216558167817</v>
      </c>
      <c r="J94" s="12">
        <f t="shared" si="8"/>
        <v>9034.7209840626092</v>
      </c>
    </row>
    <row r="95" spans="1:10">
      <c r="A95" s="3" t="s">
        <v>46</v>
      </c>
      <c r="B95" s="9" t="s">
        <v>73</v>
      </c>
      <c r="C95" s="8" t="s">
        <v>53</v>
      </c>
      <c r="D95" s="5" t="s">
        <v>72</v>
      </c>
      <c r="E95" s="13" t="s">
        <v>64</v>
      </c>
      <c r="F95" s="11">
        <v>9.849687444692691E-2</v>
      </c>
      <c r="G95" t="str">
        <f t="shared" si="9"/>
        <v>Flugzeuglackierungen</v>
      </c>
      <c r="H95" t="str">
        <f t="shared" si="10"/>
        <v>FL</v>
      </c>
      <c r="I95">
        <f t="shared" si="11"/>
        <v>18.656216558167817</v>
      </c>
      <c r="J95" s="12">
        <f t="shared" si="8"/>
        <v>10696.471553522397</v>
      </c>
    </row>
    <row r="96" spans="1:10">
      <c r="A96" s="3" t="s">
        <v>46</v>
      </c>
      <c r="B96" s="9" t="s">
        <v>73</v>
      </c>
      <c r="C96" s="8" t="s">
        <v>53</v>
      </c>
      <c r="D96" s="5" t="s">
        <v>72</v>
      </c>
      <c r="E96" s="13" t="s">
        <v>65</v>
      </c>
      <c r="F96" s="11">
        <v>8.0859105498017388E-3</v>
      </c>
      <c r="G96" t="str">
        <f t="shared" si="9"/>
        <v>Flugzeuglackierungen</v>
      </c>
      <c r="H96" t="str">
        <f t="shared" si="10"/>
        <v>FL</v>
      </c>
      <c r="I96">
        <f t="shared" si="11"/>
        <v>18.656216558167817</v>
      </c>
      <c r="J96" s="12">
        <f t="shared" si="8"/>
        <v>1083.7493555066274</v>
      </c>
    </row>
    <row r="97" spans="1:10">
      <c r="A97" s="3" t="s">
        <v>46</v>
      </c>
      <c r="B97" s="9" t="s">
        <v>73</v>
      </c>
      <c r="C97" s="8" t="s">
        <v>53</v>
      </c>
      <c r="D97" s="5" t="s">
        <v>72</v>
      </c>
      <c r="E97" s="13" t="s">
        <v>66</v>
      </c>
      <c r="F97" s="11">
        <v>0.16783771706625367</v>
      </c>
      <c r="G97" t="str">
        <f t="shared" si="9"/>
        <v>Flugzeuglackierungen</v>
      </c>
      <c r="H97" t="str">
        <f t="shared" si="10"/>
        <v>FL</v>
      </c>
      <c r="I97">
        <f t="shared" si="11"/>
        <v>18.656216558167817</v>
      </c>
      <c r="J97" s="12">
        <f t="shared" si="8"/>
        <v>18527.368743065825</v>
      </c>
    </row>
    <row r="98" spans="1:10">
      <c r="A98" s="3" t="s">
        <v>46</v>
      </c>
      <c r="B98" s="9" t="s">
        <v>74</v>
      </c>
      <c r="C98" s="8" t="s">
        <v>59</v>
      </c>
      <c r="D98" s="5" t="s">
        <v>49</v>
      </c>
      <c r="E98" s="13" t="s">
        <v>50</v>
      </c>
      <c r="F98" s="11">
        <v>9.2557600563755761E-3</v>
      </c>
      <c r="G98" t="str">
        <f t="shared" si="9"/>
        <v>Fassadenfarbe</v>
      </c>
      <c r="H98" t="str">
        <f t="shared" si="10"/>
        <v>FF</v>
      </c>
      <c r="I98">
        <f t="shared" si="11"/>
        <v>16.02927478260078</v>
      </c>
      <c r="J98" s="12">
        <f t="shared" si="8"/>
        <v>1573.3951645781392</v>
      </c>
    </row>
    <row r="99" spans="1:10">
      <c r="A99" s="3" t="s">
        <v>46</v>
      </c>
      <c r="B99" s="9" t="s">
        <v>74</v>
      </c>
      <c r="C99" s="8" t="s">
        <v>59</v>
      </c>
      <c r="D99" s="5" t="s">
        <v>49</v>
      </c>
      <c r="E99" s="13" t="s">
        <v>52</v>
      </c>
      <c r="F99" s="11">
        <v>0.11874710465389667</v>
      </c>
      <c r="G99" t="str">
        <f t="shared" si="9"/>
        <v>Fassadenfarbe</v>
      </c>
      <c r="H99" t="str">
        <f t="shared" si="10"/>
        <v>FF</v>
      </c>
      <c r="I99">
        <f t="shared" si="11"/>
        <v>16.02927478260078</v>
      </c>
      <c r="J99" s="12">
        <f t="shared" si="8"/>
        <v>17400.118263947341</v>
      </c>
    </row>
    <row r="100" spans="1:10">
      <c r="A100" s="3" t="s">
        <v>46</v>
      </c>
      <c r="B100" s="9" t="s">
        <v>74</v>
      </c>
      <c r="C100" s="8" t="s">
        <v>59</v>
      </c>
      <c r="D100" s="5" t="s">
        <v>49</v>
      </c>
      <c r="E100" s="13" t="s">
        <v>54</v>
      </c>
      <c r="F100" s="11">
        <v>0.69844216478347365</v>
      </c>
      <c r="G100" t="str">
        <f t="shared" si="9"/>
        <v>Fassadenfarbe</v>
      </c>
      <c r="H100" t="str">
        <f t="shared" si="10"/>
        <v>FF</v>
      </c>
      <c r="I100">
        <f t="shared" si="11"/>
        <v>16.02927478260078</v>
      </c>
      <c r="J100" s="12">
        <f t="shared" si="8"/>
        <v>108712.29061807945</v>
      </c>
    </row>
    <row r="101" spans="1:10">
      <c r="A101" s="3" t="s">
        <v>46</v>
      </c>
      <c r="B101" s="9" t="s">
        <v>74</v>
      </c>
      <c r="C101" s="8" t="s">
        <v>59</v>
      </c>
      <c r="D101" s="5" t="s">
        <v>49</v>
      </c>
      <c r="E101" s="13" t="s">
        <v>56</v>
      </c>
      <c r="F101" s="11">
        <v>0.26353811561098367</v>
      </c>
      <c r="G101" t="str">
        <f t="shared" si="9"/>
        <v>Fassadenfarbe</v>
      </c>
      <c r="H101" t="str">
        <f t="shared" si="10"/>
        <v>FF</v>
      </c>
      <c r="I101">
        <f t="shared" si="11"/>
        <v>16.02927478260078</v>
      </c>
      <c r="J101" s="12">
        <f t="shared" si="8"/>
        <v>35798.808770368341</v>
      </c>
    </row>
    <row r="102" spans="1:10">
      <c r="A102" s="3" t="s">
        <v>46</v>
      </c>
      <c r="B102" s="9" t="s">
        <v>74</v>
      </c>
      <c r="C102" s="8" t="s">
        <v>59</v>
      </c>
      <c r="D102" s="5" t="s">
        <v>49</v>
      </c>
      <c r="E102" s="13" t="s">
        <v>58</v>
      </c>
      <c r="F102" s="11">
        <v>0.12974644933122823</v>
      </c>
      <c r="G102" t="str">
        <f t="shared" si="9"/>
        <v>Fassadenfarbe</v>
      </c>
      <c r="H102" t="str">
        <f t="shared" si="10"/>
        <v>FF</v>
      </c>
      <c r="I102">
        <f t="shared" si="11"/>
        <v>16.02927478260078</v>
      </c>
      <c r="J102" s="12">
        <f t="shared" si="8"/>
        <v>19434.744375337392</v>
      </c>
    </row>
    <row r="103" spans="1:10">
      <c r="A103" s="3" t="s">
        <v>46</v>
      </c>
      <c r="B103" s="9" t="s">
        <v>74</v>
      </c>
      <c r="C103" s="8" t="s">
        <v>59</v>
      </c>
      <c r="D103" s="5" t="s">
        <v>49</v>
      </c>
      <c r="E103" s="13" t="s">
        <v>60</v>
      </c>
      <c r="F103" s="11">
        <v>4.5558371131885503E-2</v>
      </c>
      <c r="G103" t="str">
        <f t="shared" si="9"/>
        <v>Fassadenfarbe</v>
      </c>
      <c r="H103" t="str">
        <f t="shared" si="10"/>
        <v>FF</v>
      </c>
      <c r="I103">
        <f t="shared" si="11"/>
        <v>16.02927478260078</v>
      </c>
      <c r="J103" s="12">
        <f t="shared" si="8"/>
        <v>7601.5047470249756</v>
      </c>
    </row>
    <row r="104" spans="1:10">
      <c r="A104" s="3" t="s">
        <v>46</v>
      </c>
      <c r="B104" s="9" t="s">
        <v>74</v>
      </c>
      <c r="C104" s="8" t="s">
        <v>59</v>
      </c>
      <c r="D104" s="5" t="s">
        <v>49</v>
      </c>
      <c r="E104" s="13" t="s">
        <v>61</v>
      </c>
      <c r="F104" s="11">
        <v>9.6581883224777315E-2</v>
      </c>
      <c r="G104" t="str">
        <f t="shared" si="9"/>
        <v>Fassadenfarbe</v>
      </c>
      <c r="H104" t="str">
        <f t="shared" si="10"/>
        <v>FF</v>
      </c>
      <c r="I104">
        <f t="shared" si="11"/>
        <v>16.02927478260078</v>
      </c>
      <c r="J104" s="12">
        <f t="shared" si="8"/>
        <v>16268.58000151154</v>
      </c>
    </row>
    <row r="105" spans="1:10">
      <c r="A105" s="3" t="s">
        <v>46</v>
      </c>
      <c r="B105" s="9" t="s">
        <v>74</v>
      </c>
      <c r="C105" s="8" t="s">
        <v>59</v>
      </c>
      <c r="D105" s="5" t="s">
        <v>49</v>
      </c>
      <c r="E105" s="13" t="s">
        <v>62</v>
      </c>
      <c r="F105" s="11">
        <v>0.1245144538421909</v>
      </c>
      <c r="G105" t="str">
        <f t="shared" si="9"/>
        <v>Fassadenfarbe</v>
      </c>
      <c r="H105" t="str">
        <f t="shared" si="10"/>
        <v>FF</v>
      </c>
      <c r="I105">
        <f t="shared" si="11"/>
        <v>16.02927478260078</v>
      </c>
      <c r="J105" s="12">
        <f t="shared" si="8"/>
        <v>19699.070222826616</v>
      </c>
    </row>
    <row r="106" spans="1:10">
      <c r="A106" s="3" t="s">
        <v>46</v>
      </c>
      <c r="B106" s="9" t="s">
        <v>74</v>
      </c>
      <c r="C106" s="8" t="s">
        <v>59</v>
      </c>
      <c r="D106" s="5" t="s">
        <v>49</v>
      </c>
      <c r="E106" s="13" t="s">
        <v>63</v>
      </c>
      <c r="F106" s="11">
        <v>0.34275606337557263</v>
      </c>
      <c r="G106" t="str">
        <f t="shared" si="9"/>
        <v>Fassadenfarbe</v>
      </c>
      <c r="H106" t="str">
        <f t="shared" si="10"/>
        <v>FF</v>
      </c>
      <c r="I106">
        <f t="shared" si="11"/>
        <v>16.02927478260078</v>
      </c>
      <c r="J106" s="12">
        <f t="shared" si="8"/>
        <v>63161.029180831982</v>
      </c>
    </row>
    <row r="107" spans="1:10">
      <c r="A107" s="3" t="s">
        <v>46</v>
      </c>
      <c r="B107" s="9" t="s">
        <v>74</v>
      </c>
      <c r="C107" s="8" t="s">
        <v>59</v>
      </c>
      <c r="D107" s="5" t="s">
        <v>49</v>
      </c>
      <c r="E107" s="13" t="s">
        <v>64</v>
      </c>
      <c r="F107" s="11">
        <v>0.12621065135375231</v>
      </c>
      <c r="G107" t="str">
        <f t="shared" si="9"/>
        <v>Fassadenfarbe</v>
      </c>
      <c r="H107" t="str">
        <f t="shared" si="10"/>
        <v>FF</v>
      </c>
      <c r="I107">
        <f t="shared" si="11"/>
        <v>16.02927478260078</v>
      </c>
      <c r="J107" s="12">
        <f t="shared" si="8"/>
        <v>20131.011856527937</v>
      </c>
    </row>
    <row r="108" spans="1:10">
      <c r="A108" s="3" t="s">
        <v>46</v>
      </c>
      <c r="B108" s="9" t="s">
        <v>74</v>
      </c>
      <c r="C108" s="8" t="s">
        <v>59</v>
      </c>
      <c r="D108" s="5" t="s">
        <v>49</v>
      </c>
      <c r="E108" s="13" t="s">
        <v>65</v>
      </c>
      <c r="F108" s="11">
        <v>0.11863860534619321</v>
      </c>
      <c r="G108" t="str">
        <f t="shared" si="9"/>
        <v>Fassadenfarbe</v>
      </c>
      <c r="H108" t="str">
        <f t="shared" si="10"/>
        <v>FF</v>
      </c>
      <c r="I108">
        <f t="shared" si="11"/>
        <v>16.02927478260078</v>
      </c>
      <c r="J108" s="12">
        <f t="shared" si="8"/>
        <v>18846.734094600808</v>
      </c>
    </row>
    <row r="109" spans="1:10">
      <c r="A109" s="3" t="s">
        <v>46</v>
      </c>
      <c r="B109" s="9" t="s">
        <v>74</v>
      </c>
      <c r="C109" s="8" t="s">
        <v>59</v>
      </c>
      <c r="D109" s="5" t="s">
        <v>49</v>
      </c>
      <c r="E109" s="13" t="s">
        <v>66</v>
      </c>
      <c r="F109" s="11">
        <v>1.4260967435964458E-2</v>
      </c>
      <c r="G109" t="str">
        <f t="shared" si="9"/>
        <v>Fassadenfarbe</v>
      </c>
      <c r="H109" t="str">
        <f t="shared" si="10"/>
        <v>FF</v>
      </c>
      <c r="I109">
        <f t="shared" si="11"/>
        <v>16.02927478260078</v>
      </c>
      <c r="J109" s="12">
        <f t="shared" si="8"/>
        <v>1835.3394171699126</v>
      </c>
    </row>
    <row r="110" spans="1:10">
      <c r="A110" s="3" t="s">
        <v>46</v>
      </c>
      <c r="B110" s="9" t="s">
        <v>74</v>
      </c>
      <c r="C110" s="8" t="s">
        <v>59</v>
      </c>
      <c r="D110" s="5" t="s">
        <v>67</v>
      </c>
      <c r="E110" s="13" t="s">
        <v>50</v>
      </c>
      <c r="F110" s="11">
        <v>0.21186934811034264</v>
      </c>
      <c r="G110" t="str">
        <f t="shared" si="9"/>
        <v>Fassadenfarbe</v>
      </c>
      <c r="H110" t="str">
        <f t="shared" si="10"/>
        <v>FF</v>
      </c>
      <c r="I110">
        <f t="shared" si="11"/>
        <v>16.02927478260078</v>
      </c>
      <c r="J110" s="12">
        <f t="shared" si="8"/>
        <v>36015.865343172307</v>
      </c>
    </row>
    <row r="111" spans="1:10">
      <c r="A111" s="3" t="s">
        <v>46</v>
      </c>
      <c r="B111" s="9" t="s">
        <v>74</v>
      </c>
      <c r="C111" s="8" t="s">
        <v>59</v>
      </c>
      <c r="D111" s="5" t="s">
        <v>67</v>
      </c>
      <c r="E111" s="13" t="s">
        <v>52</v>
      </c>
      <c r="F111" s="11">
        <v>0.19151561129417177</v>
      </c>
      <c r="G111" t="str">
        <f t="shared" si="9"/>
        <v>Fassadenfarbe</v>
      </c>
      <c r="H111" t="str">
        <f t="shared" si="10"/>
        <v>FF</v>
      </c>
      <c r="I111">
        <f t="shared" si="11"/>
        <v>16.02927478260078</v>
      </c>
      <c r="J111" s="12">
        <f t="shared" si="8"/>
        <v>28062.951897845753</v>
      </c>
    </row>
    <row r="112" spans="1:10">
      <c r="A112" s="3" t="s">
        <v>46</v>
      </c>
      <c r="B112" s="9" t="s">
        <v>74</v>
      </c>
      <c r="C112" s="8" t="s">
        <v>59</v>
      </c>
      <c r="D112" s="5" t="s">
        <v>67</v>
      </c>
      <c r="E112" s="13" t="s">
        <v>54</v>
      </c>
      <c r="F112" s="11">
        <v>5.09132536707902E-2</v>
      </c>
      <c r="G112" t="str">
        <f t="shared" si="9"/>
        <v>Fassadenfarbe</v>
      </c>
      <c r="H112" t="str">
        <f t="shared" si="10"/>
        <v>FF</v>
      </c>
      <c r="I112">
        <f t="shared" si="11"/>
        <v>16.02927478260078</v>
      </c>
      <c r="J112" s="12">
        <f t="shared" si="8"/>
        <v>7924.6309980252072</v>
      </c>
    </row>
    <row r="113" spans="1:10">
      <c r="A113" s="3" t="s">
        <v>46</v>
      </c>
      <c r="B113" s="9" t="s">
        <v>74</v>
      </c>
      <c r="C113" s="8" t="s">
        <v>59</v>
      </c>
      <c r="D113" s="5" t="s">
        <v>67</v>
      </c>
      <c r="E113" s="13" t="s">
        <v>56</v>
      </c>
      <c r="F113" s="11">
        <v>8.6985252076658571E-3</v>
      </c>
      <c r="G113" t="str">
        <f t="shared" si="9"/>
        <v>Fassadenfarbe</v>
      </c>
      <c r="H113" t="str">
        <f t="shared" si="10"/>
        <v>FF</v>
      </c>
      <c r="I113">
        <f t="shared" si="11"/>
        <v>16.02927478260078</v>
      </c>
      <c r="J113" s="12">
        <f t="shared" si="8"/>
        <v>1181.6007706191565</v>
      </c>
    </row>
    <row r="114" spans="1:10">
      <c r="A114" s="3" t="s">
        <v>46</v>
      </c>
      <c r="B114" s="9" t="s">
        <v>74</v>
      </c>
      <c r="C114" s="8" t="s">
        <v>59</v>
      </c>
      <c r="D114" s="5" t="s">
        <v>67</v>
      </c>
      <c r="E114" s="13" t="s">
        <v>58</v>
      </c>
      <c r="F114" s="11">
        <v>0.10612651137459654</v>
      </c>
      <c r="G114" t="str">
        <f t="shared" si="9"/>
        <v>Fassadenfarbe</v>
      </c>
      <c r="H114" t="str">
        <f t="shared" si="10"/>
        <v>FF</v>
      </c>
      <c r="I114">
        <f t="shared" si="11"/>
        <v>16.02927478260078</v>
      </c>
      <c r="J114" s="12">
        <f t="shared" si="8"/>
        <v>15896.709548838449</v>
      </c>
    </row>
    <row r="115" spans="1:10">
      <c r="A115" s="3" t="s">
        <v>46</v>
      </c>
      <c r="B115" s="9" t="s">
        <v>74</v>
      </c>
      <c r="C115" s="8" t="s">
        <v>59</v>
      </c>
      <c r="D115" s="5" t="s">
        <v>67</v>
      </c>
      <c r="E115" s="13" t="s">
        <v>60</v>
      </c>
      <c r="F115" s="11">
        <v>0.72618895994266486</v>
      </c>
      <c r="G115" t="str">
        <f t="shared" si="9"/>
        <v>Fassadenfarbe</v>
      </c>
      <c r="H115" t="str">
        <f t="shared" si="10"/>
        <v>FF</v>
      </c>
      <c r="I115">
        <f t="shared" si="11"/>
        <v>16.02927478260078</v>
      </c>
      <c r="J115" s="12">
        <f t="shared" si="8"/>
        <v>121166.0708909291</v>
      </c>
    </row>
    <row r="116" spans="1:10">
      <c r="A116" s="3" t="s">
        <v>46</v>
      </c>
      <c r="B116" s="9" t="s">
        <v>74</v>
      </c>
      <c r="C116" s="8" t="s">
        <v>59</v>
      </c>
      <c r="D116" s="5" t="s">
        <v>67</v>
      </c>
      <c r="E116" s="13" t="s">
        <v>61</v>
      </c>
      <c r="F116" s="11">
        <v>0.16091482234610396</v>
      </c>
      <c r="G116" t="str">
        <f t="shared" si="9"/>
        <v>Fassadenfarbe</v>
      </c>
      <c r="H116" t="str">
        <f t="shared" si="10"/>
        <v>FF</v>
      </c>
      <c r="I116">
        <f t="shared" si="11"/>
        <v>16.02927478260078</v>
      </c>
      <c r="J116" s="12">
        <f t="shared" si="8"/>
        <v>27105.038474700388</v>
      </c>
    </row>
    <row r="117" spans="1:10">
      <c r="A117" s="3" t="s">
        <v>46</v>
      </c>
      <c r="B117" s="9" t="s">
        <v>74</v>
      </c>
      <c r="C117" s="8" t="s">
        <v>59</v>
      </c>
      <c r="D117" s="5" t="s">
        <v>67</v>
      </c>
      <c r="E117" s="13" t="s">
        <v>62</v>
      </c>
      <c r="F117" s="11">
        <v>0.20363010865681408</v>
      </c>
      <c r="G117" t="str">
        <f t="shared" si="9"/>
        <v>Fassadenfarbe</v>
      </c>
      <c r="H117" t="str">
        <f t="shared" si="10"/>
        <v>FF</v>
      </c>
      <c r="I117">
        <f t="shared" si="11"/>
        <v>16.02927478260078</v>
      </c>
      <c r="J117" s="12">
        <f t="shared" si="8"/>
        <v>32215.728263935765</v>
      </c>
    </row>
    <row r="118" spans="1:10">
      <c r="A118" s="3" t="s">
        <v>46</v>
      </c>
      <c r="B118" s="9" t="s">
        <v>74</v>
      </c>
      <c r="C118" s="8" t="s">
        <v>59</v>
      </c>
      <c r="D118" s="5" t="s">
        <v>67</v>
      </c>
      <c r="E118" s="13" t="s">
        <v>63</v>
      </c>
      <c r="F118" s="11">
        <v>0.54232570870521968</v>
      </c>
      <c r="G118" t="str">
        <f t="shared" si="9"/>
        <v>Fassadenfarbe</v>
      </c>
      <c r="H118" t="str">
        <f t="shared" si="10"/>
        <v>FF</v>
      </c>
      <c r="I118">
        <f t="shared" si="11"/>
        <v>16.02927478260078</v>
      </c>
      <c r="J118" s="12">
        <f t="shared" si="8"/>
        <v>99936.525048463809</v>
      </c>
    </row>
    <row r="119" spans="1:10">
      <c r="A119" s="3" t="s">
        <v>46</v>
      </c>
      <c r="B119" s="9" t="s">
        <v>74</v>
      </c>
      <c r="C119" s="8" t="s">
        <v>59</v>
      </c>
      <c r="D119" s="5" t="s">
        <v>67</v>
      </c>
      <c r="E119" s="13" t="s">
        <v>64</v>
      </c>
      <c r="F119" s="11">
        <v>0.15829279812950209</v>
      </c>
      <c r="G119" t="str">
        <f t="shared" si="9"/>
        <v>Fassadenfarbe</v>
      </c>
      <c r="H119" t="str">
        <f t="shared" si="10"/>
        <v>FF</v>
      </c>
      <c r="I119">
        <f t="shared" si="11"/>
        <v>16.02927478260078</v>
      </c>
      <c r="J119" s="12">
        <f t="shared" si="8"/>
        <v>25248.219241150844</v>
      </c>
    </row>
    <row r="120" spans="1:10">
      <c r="A120" s="3" t="s">
        <v>46</v>
      </c>
      <c r="B120" s="9" t="s">
        <v>74</v>
      </c>
      <c r="C120" s="8" t="s">
        <v>59</v>
      </c>
      <c r="D120" s="5" t="s">
        <v>67</v>
      </c>
      <c r="E120" s="13" t="s">
        <v>65</v>
      </c>
      <c r="F120" s="11">
        <v>0.15704108486097737</v>
      </c>
      <c r="G120" t="str">
        <f t="shared" si="9"/>
        <v>Fassadenfarbe</v>
      </c>
      <c r="H120" t="str">
        <f t="shared" si="10"/>
        <v>FF</v>
      </c>
      <c r="I120">
        <f t="shared" si="11"/>
        <v>16.02927478260078</v>
      </c>
      <c r="J120" s="12">
        <f t="shared" si="8"/>
        <v>24947.28895089334</v>
      </c>
    </row>
    <row r="121" spans="1:10">
      <c r="A121" s="3" t="s">
        <v>46</v>
      </c>
      <c r="B121" s="9" t="s">
        <v>74</v>
      </c>
      <c r="C121" s="8" t="s">
        <v>59</v>
      </c>
      <c r="D121" s="5" t="s">
        <v>67</v>
      </c>
      <c r="E121" s="13" t="s">
        <v>66</v>
      </c>
      <c r="F121" s="11">
        <v>0.23768635263636909</v>
      </c>
      <c r="G121" t="str">
        <f t="shared" si="9"/>
        <v>Fassadenfarbe</v>
      </c>
      <c r="H121" t="str">
        <f t="shared" si="10"/>
        <v>FF</v>
      </c>
      <c r="I121">
        <f t="shared" si="11"/>
        <v>16.02927478260078</v>
      </c>
      <c r="J121" s="12">
        <f t="shared" si="8"/>
        <v>30589.448708559772</v>
      </c>
    </row>
    <row r="122" spans="1:10">
      <c r="A122" s="3" t="s">
        <v>46</v>
      </c>
      <c r="B122" s="9" t="s">
        <v>74</v>
      </c>
      <c r="C122" s="8" t="s">
        <v>59</v>
      </c>
      <c r="D122" s="5" t="s">
        <v>71</v>
      </c>
      <c r="E122" s="13" t="s">
        <v>50</v>
      </c>
      <c r="F122" s="11">
        <v>0.77772472181787999</v>
      </c>
      <c r="G122" t="str">
        <f t="shared" si="9"/>
        <v>Fassadenfarbe</v>
      </c>
      <c r="H122" t="str">
        <f t="shared" si="10"/>
        <v>FF</v>
      </c>
      <c r="I122">
        <f t="shared" si="11"/>
        <v>16.02927478260078</v>
      </c>
      <c r="J122" s="12">
        <f t="shared" si="8"/>
        <v>132206.1407413258</v>
      </c>
    </row>
    <row r="123" spans="1:10">
      <c r="A123" s="3" t="s">
        <v>46</v>
      </c>
      <c r="B123" s="9" t="s">
        <v>74</v>
      </c>
      <c r="C123" s="8" t="s">
        <v>59</v>
      </c>
      <c r="D123" s="5" t="s">
        <v>71</v>
      </c>
      <c r="E123" s="13" t="s">
        <v>52</v>
      </c>
      <c r="F123" s="11">
        <v>0.68265037230981529</v>
      </c>
      <c r="G123" t="str">
        <f t="shared" si="9"/>
        <v>Fassadenfarbe</v>
      </c>
      <c r="H123" t="str">
        <f t="shared" si="10"/>
        <v>FF</v>
      </c>
      <c r="I123">
        <f t="shared" si="11"/>
        <v>16.02927478260078</v>
      </c>
      <c r="J123" s="12">
        <f t="shared" si="8"/>
        <v>100029.36278521454</v>
      </c>
    </row>
    <row r="124" spans="1:10">
      <c r="A124" s="3" t="s">
        <v>46</v>
      </c>
      <c r="B124" s="9" t="s">
        <v>74</v>
      </c>
      <c r="C124" s="8" t="s">
        <v>59</v>
      </c>
      <c r="D124" s="5" t="s">
        <v>71</v>
      </c>
      <c r="E124" s="13" t="s">
        <v>54</v>
      </c>
      <c r="F124" s="11">
        <v>0.24879005735690579</v>
      </c>
      <c r="G124" t="str">
        <f t="shared" si="9"/>
        <v>Fassadenfarbe</v>
      </c>
      <c r="H124" t="str">
        <f t="shared" si="10"/>
        <v>FF</v>
      </c>
      <c r="I124">
        <f t="shared" si="11"/>
        <v>16.02927478260078</v>
      </c>
      <c r="J124" s="12">
        <f t="shared" si="8"/>
        <v>38724.089669840287</v>
      </c>
    </row>
    <row r="125" spans="1:10">
      <c r="A125" s="3" t="s">
        <v>46</v>
      </c>
      <c r="B125" s="9" t="s">
        <v>74</v>
      </c>
      <c r="C125" s="8" t="s">
        <v>59</v>
      </c>
      <c r="D125" s="5" t="s">
        <v>71</v>
      </c>
      <c r="E125" s="13" t="s">
        <v>56</v>
      </c>
      <c r="F125" s="11">
        <v>0.72735359067003869</v>
      </c>
      <c r="G125" t="str">
        <f t="shared" si="9"/>
        <v>Fassadenfarbe</v>
      </c>
      <c r="H125" t="str">
        <f t="shared" si="10"/>
        <v>FF</v>
      </c>
      <c r="I125">
        <f t="shared" si="11"/>
        <v>16.02927478260078</v>
      </c>
      <c r="J125" s="12">
        <f t="shared" si="8"/>
        <v>98803.135328149365</v>
      </c>
    </row>
    <row r="126" spans="1:10">
      <c r="A126" s="3" t="s">
        <v>46</v>
      </c>
      <c r="B126" s="9" t="s">
        <v>74</v>
      </c>
      <c r="C126" s="8" t="s">
        <v>59</v>
      </c>
      <c r="D126" s="5" t="s">
        <v>71</v>
      </c>
      <c r="E126" s="13" t="s">
        <v>58</v>
      </c>
      <c r="F126" s="11">
        <v>0.75987349867910436</v>
      </c>
      <c r="G126" t="str">
        <f t="shared" si="9"/>
        <v>Fassadenfarbe</v>
      </c>
      <c r="H126" t="str">
        <f t="shared" si="10"/>
        <v>FF</v>
      </c>
      <c r="I126">
        <f t="shared" si="11"/>
        <v>16.02927478260078</v>
      </c>
      <c r="J126" s="12">
        <f t="shared" si="8"/>
        <v>113821.59034441663</v>
      </c>
    </row>
    <row r="127" spans="1:10">
      <c r="A127" s="3" t="s">
        <v>46</v>
      </c>
      <c r="B127" s="9" t="s">
        <v>74</v>
      </c>
      <c r="C127" s="8" t="s">
        <v>59</v>
      </c>
      <c r="D127" s="5" t="s">
        <v>71</v>
      </c>
      <c r="E127" s="13" t="s">
        <v>60</v>
      </c>
      <c r="F127" s="11">
        <v>0.18158402138430357</v>
      </c>
      <c r="G127" t="str">
        <f t="shared" si="9"/>
        <v>Fassadenfarbe</v>
      </c>
      <c r="H127" t="str">
        <f t="shared" si="10"/>
        <v>FF</v>
      </c>
      <c r="I127">
        <f t="shared" si="11"/>
        <v>16.02927478260078</v>
      </c>
      <c r="J127" s="12">
        <f t="shared" si="8"/>
        <v>30297.654772178899</v>
      </c>
    </row>
    <row r="128" spans="1:10">
      <c r="A128" s="3" t="s">
        <v>46</v>
      </c>
      <c r="B128" s="9" t="s">
        <v>74</v>
      </c>
      <c r="C128" s="8" t="s">
        <v>59</v>
      </c>
      <c r="D128" s="5" t="s">
        <v>71</v>
      </c>
      <c r="E128" s="13" t="s">
        <v>61</v>
      </c>
      <c r="F128" s="11">
        <v>0.7320378297882264</v>
      </c>
      <c r="G128" t="str">
        <f t="shared" si="9"/>
        <v>Fassadenfarbe</v>
      </c>
      <c r="H128" t="str">
        <f t="shared" si="10"/>
        <v>FF</v>
      </c>
      <c r="I128">
        <f t="shared" si="11"/>
        <v>16.02927478260078</v>
      </c>
      <c r="J128" s="12">
        <f t="shared" si="8"/>
        <v>123306.93501105219</v>
      </c>
    </row>
    <row r="129" spans="1:10">
      <c r="A129" s="3" t="s">
        <v>46</v>
      </c>
      <c r="B129" s="9" t="s">
        <v>74</v>
      </c>
      <c r="C129" s="8" t="s">
        <v>59</v>
      </c>
      <c r="D129" s="5" t="s">
        <v>71</v>
      </c>
      <c r="E129" s="13" t="s">
        <v>62</v>
      </c>
      <c r="F129" s="11">
        <v>0.66530792429778274</v>
      </c>
      <c r="G129" t="str">
        <f t="shared" si="9"/>
        <v>Fassadenfarbe</v>
      </c>
      <c r="H129" t="str">
        <f t="shared" si="10"/>
        <v>FF</v>
      </c>
      <c r="I129">
        <f t="shared" si="11"/>
        <v>16.02927478260078</v>
      </c>
      <c r="J129" s="12">
        <f t="shared" si="8"/>
        <v>105256.43502524984</v>
      </c>
    </row>
    <row r="130" spans="1:10">
      <c r="A130" s="3" t="s">
        <v>46</v>
      </c>
      <c r="B130" s="9" t="s">
        <v>74</v>
      </c>
      <c r="C130" s="8" t="s">
        <v>59</v>
      </c>
      <c r="D130" s="5" t="s">
        <v>71</v>
      </c>
      <c r="E130" s="13" t="s">
        <v>63</v>
      </c>
      <c r="F130" s="11">
        <v>0.11282237186485654</v>
      </c>
      <c r="G130" t="str">
        <f t="shared" si="9"/>
        <v>Fassadenfarbe</v>
      </c>
      <c r="H130" t="str">
        <f t="shared" si="10"/>
        <v>FF</v>
      </c>
      <c r="I130">
        <f t="shared" si="11"/>
        <v>16.02927478260078</v>
      </c>
      <c r="J130" s="12">
        <f t="shared" si="8"/>
        <v>20790.229212659149</v>
      </c>
    </row>
    <row r="131" spans="1:10">
      <c r="A131" s="3" t="s">
        <v>46</v>
      </c>
      <c r="B131" s="9" t="s">
        <v>74</v>
      </c>
      <c r="C131" s="8" t="s">
        <v>59</v>
      </c>
      <c r="D131" s="5" t="s">
        <v>71</v>
      </c>
      <c r="E131" s="13" t="s">
        <v>64</v>
      </c>
      <c r="F131" s="11">
        <v>0.71510092831787431</v>
      </c>
      <c r="G131" t="str">
        <f t="shared" si="9"/>
        <v>Fassadenfarbe</v>
      </c>
      <c r="H131" t="str">
        <f t="shared" si="10"/>
        <v>FF</v>
      </c>
      <c r="I131">
        <f t="shared" si="11"/>
        <v>16.02927478260078</v>
      </c>
      <c r="J131" s="12">
        <f t="shared" ref="J131:J194" si="12">INDEX($P$16:$AF$22,MATCH(H131,$P$16:$P$22,0),MATCH(E131,$P$16:$AF$16,0))*F131/I131</f>
        <v>114060.93790160341</v>
      </c>
    </row>
    <row r="132" spans="1:10">
      <c r="A132" s="3" t="s">
        <v>46</v>
      </c>
      <c r="B132" s="9" t="s">
        <v>74</v>
      </c>
      <c r="C132" s="8" t="s">
        <v>59</v>
      </c>
      <c r="D132" s="5" t="s">
        <v>71</v>
      </c>
      <c r="E132" s="13" t="s">
        <v>65</v>
      </c>
      <c r="F132" s="11">
        <v>0.70952516573379876</v>
      </c>
      <c r="G132" t="str">
        <f t="shared" si="9"/>
        <v>Fassadenfarbe</v>
      </c>
      <c r="H132" t="str">
        <f t="shared" si="10"/>
        <v>FF</v>
      </c>
      <c r="I132">
        <f t="shared" si="11"/>
        <v>16.02927478260078</v>
      </c>
      <c r="J132" s="12">
        <f t="shared" si="12"/>
        <v>112714.00311046858</v>
      </c>
    </row>
    <row r="133" spans="1:10">
      <c r="A133" s="3" t="s">
        <v>46</v>
      </c>
      <c r="B133" s="9" t="s">
        <v>74</v>
      </c>
      <c r="C133" s="8" t="s">
        <v>59</v>
      </c>
      <c r="D133" s="5" t="s">
        <v>71</v>
      </c>
      <c r="E133" s="13" t="s">
        <v>66</v>
      </c>
      <c r="F133" s="11">
        <v>0.74788920676028436</v>
      </c>
      <c r="G133" t="str">
        <f t="shared" si="9"/>
        <v>Fassadenfarbe</v>
      </c>
      <c r="H133" t="str">
        <f t="shared" si="10"/>
        <v>FF</v>
      </c>
      <c r="I133">
        <f t="shared" si="11"/>
        <v>16.02927478260078</v>
      </c>
      <c r="J133" s="12">
        <f t="shared" si="12"/>
        <v>96250.871268486182</v>
      </c>
    </row>
    <row r="134" spans="1:10">
      <c r="A134" s="3" t="s">
        <v>46</v>
      </c>
      <c r="B134" s="9" t="s">
        <v>74</v>
      </c>
      <c r="C134" s="8" t="s">
        <v>59</v>
      </c>
      <c r="D134" s="5" t="s">
        <v>72</v>
      </c>
      <c r="E134" s="13" t="s">
        <v>50</v>
      </c>
      <c r="F134" s="11">
        <v>1.1501700154018348E-3</v>
      </c>
      <c r="G134" t="str">
        <f t="shared" si="9"/>
        <v>Fassadenfarbe</v>
      </c>
      <c r="H134" t="str">
        <f t="shared" si="10"/>
        <v>FF</v>
      </c>
      <c r="I134">
        <f t="shared" si="11"/>
        <v>16.02927478260078</v>
      </c>
      <c r="J134" s="12">
        <f t="shared" si="12"/>
        <v>195.51845873850931</v>
      </c>
    </row>
    <row r="135" spans="1:10">
      <c r="A135" s="3" t="s">
        <v>46</v>
      </c>
      <c r="B135" s="9" t="s">
        <v>74</v>
      </c>
      <c r="C135" s="8" t="s">
        <v>59</v>
      </c>
      <c r="D135" s="5" t="s">
        <v>72</v>
      </c>
      <c r="E135" s="13" t="s">
        <v>52</v>
      </c>
      <c r="F135" s="11">
        <v>7.0869117421162066E-3</v>
      </c>
      <c r="G135" t="str">
        <f t="shared" si="9"/>
        <v>Fassadenfarbe</v>
      </c>
      <c r="H135" t="str">
        <f t="shared" si="10"/>
        <v>FF</v>
      </c>
      <c r="I135">
        <f t="shared" si="11"/>
        <v>16.02927478260078</v>
      </c>
      <c r="J135" s="12">
        <f t="shared" si="12"/>
        <v>1038.451445181679</v>
      </c>
    </row>
    <row r="136" spans="1:10">
      <c r="A136" s="3" t="s">
        <v>46</v>
      </c>
      <c r="B136" s="9" t="s">
        <v>74</v>
      </c>
      <c r="C136" s="8" t="s">
        <v>59</v>
      </c>
      <c r="D136" s="5" t="s">
        <v>72</v>
      </c>
      <c r="E136" s="13" t="s">
        <v>54</v>
      </c>
      <c r="F136" s="11">
        <v>1.8545241888304593E-3</v>
      </c>
      <c r="G136" t="str">
        <f t="shared" si="9"/>
        <v>Fassadenfarbe</v>
      </c>
      <c r="H136" t="str">
        <f t="shared" si="10"/>
        <v>FF</v>
      </c>
      <c r="I136">
        <f t="shared" si="11"/>
        <v>16.02927478260078</v>
      </c>
      <c r="J136" s="12">
        <f t="shared" si="12"/>
        <v>288.65607310076501</v>
      </c>
    </row>
    <row r="137" spans="1:10">
      <c r="A137" s="3" t="s">
        <v>46</v>
      </c>
      <c r="B137" s="9" t="s">
        <v>74</v>
      </c>
      <c r="C137" s="8" t="s">
        <v>59</v>
      </c>
      <c r="D137" s="5" t="s">
        <v>72</v>
      </c>
      <c r="E137" s="13" t="s">
        <v>56</v>
      </c>
      <c r="F137" s="11">
        <v>4.0976851131173663E-4</v>
      </c>
      <c r="G137" t="str">
        <f t="shared" si="9"/>
        <v>Fassadenfarbe</v>
      </c>
      <c r="H137" t="str">
        <f t="shared" si="10"/>
        <v>FF</v>
      </c>
      <c r="I137">
        <f t="shared" si="11"/>
        <v>16.02927478260078</v>
      </c>
      <c r="J137" s="12">
        <f t="shared" si="12"/>
        <v>55.662629834619636</v>
      </c>
    </row>
    <row r="138" spans="1:10">
      <c r="A138" s="3" t="s">
        <v>46</v>
      </c>
      <c r="B138" s="9" t="s">
        <v>74</v>
      </c>
      <c r="C138" s="8" t="s">
        <v>59</v>
      </c>
      <c r="D138" s="5" t="s">
        <v>72</v>
      </c>
      <c r="E138" s="13" t="s">
        <v>58</v>
      </c>
      <c r="F138" s="11">
        <v>4.2535406150708711E-3</v>
      </c>
      <c r="G138" t="str">
        <f t="shared" si="9"/>
        <v>Fassadenfarbe</v>
      </c>
      <c r="H138" t="str">
        <f t="shared" si="10"/>
        <v>FF</v>
      </c>
      <c r="I138">
        <f t="shared" si="11"/>
        <v>16.02927478260078</v>
      </c>
      <c r="J138" s="12">
        <f t="shared" si="12"/>
        <v>637.13862668395234</v>
      </c>
    </row>
    <row r="139" spans="1:10">
      <c r="A139" s="3" t="s">
        <v>46</v>
      </c>
      <c r="B139" s="9" t="s">
        <v>74</v>
      </c>
      <c r="C139" s="8" t="s">
        <v>59</v>
      </c>
      <c r="D139" s="5" t="s">
        <v>72</v>
      </c>
      <c r="E139" s="13" t="s">
        <v>60</v>
      </c>
      <c r="F139" s="11">
        <v>4.666864754114599E-2</v>
      </c>
      <c r="G139" t="str">
        <f t="shared" si="9"/>
        <v>Fassadenfarbe</v>
      </c>
      <c r="H139" t="str">
        <f t="shared" si="10"/>
        <v>FF</v>
      </c>
      <c r="I139">
        <f t="shared" si="11"/>
        <v>16.02927478260078</v>
      </c>
      <c r="J139" s="12">
        <f t="shared" si="12"/>
        <v>7786.7565720094863</v>
      </c>
    </row>
    <row r="140" spans="1:10">
      <c r="A140" s="3" t="s">
        <v>46</v>
      </c>
      <c r="B140" s="9" t="s">
        <v>74</v>
      </c>
      <c r="C140" s="8" t="s">
        <v>59</v>
      </c>
      <c r="D140" s="5" t="s">
        <v>72</v>
      </c>
      <c r="E140" s="13" t="s">
        <v>61</v>
      </c>
      <c r="F140" s="11">
        <v>1.0465464640892378E-2</v>
      </c>
      <c r="G140" t="str">
        <f t="shared" si="9"/>
        <v>Fassadenfarbe</v>
      </c>
      <c r="H140" t="str">
        <f t="shared" si="10"/>
        <v>FF</v>
      </c>
      <c r="I140">
        <f t="shared" si="11"/>
        <v>16.02927478260078</v>
      </c>
      <c r="J140" s="12">
        <f t="shared" si="12"/>
        <v>1762.8383613840065</v>
      </c>
    </row>
    <row r="141" spans="1:10">
      <c r="A141" s="3" t="s">
        <v>46</v>
      </c>
      <c r="B141" s="9" t="s">
        <v>74</v>
      </c>
      <c r="C141" s="8" t="s">
        <v>59</v>
      </c>
      <c r="D141" s="5" t="s">
        <v>72</v>
      </c>
      <c r="E141" s="13" t="s">
        <v>62</v>
      </c>
      <c r="F141" s="11">
        <v>6.5475132032123016E-3</v>
      </c>
      <c r="G141" t="str">
        <f t="shared" si="9"/>
        <v>Fassadenfarbe</v>
      </c>
      <c r="H141" t="str">
        <f t="shared" si="10"/>
        <v>FF</v>
      </c>
      <c r="I141">
        <f t="shared" si="11"/>
        <v>16.02927478260078</v>
      </c>
      <c r="J141" s="12">
        <f t="shared" si="12"/>
        <v>1035.863053605264</v>
      </c>
    </row>
    <row r="142" spans="1:10">
      <c r="A142" s="3" t="s">
        <v>46</v>
      </c>
      <c r="B142" s="9" t="s">
        <v>74</v>
      </c>
      <c r="C142" s="8" t="s">
        <v>59</v>
      </c>
      <c r="D142" s="5" t="s">
        <v>72</v>
      </c>
      <c r="E142" s="13" t="s">
        <v>63</v>
      </c>
      <c r="F142" s="11">
        <v>2.0958560543511686E-3</v>
      </c>
      <c r="G142" t="str">
        <f t="shared" si="9"/>
        <v>Fassadenfarbe</v>
      </c>
      <c r="H142" t="str">
        <f t="shared" si="10"/>
        <v>FF</v>
      </c>
      <c r="I142">
        <f t="shared" si="11"/>
        <v>16.02927478260078</v>
      </c>
      <c r="J142" s="12">
        <f t="shared" si="12"/>
        <v>386.211768521355</v>
      </c>
    </row>
    <row r="143" spans="1:10">
      <c r="A143" s="3" t="s">
        <v>46</v>
      </c>
      <c r="B143" s="9" t="s">
        <v>74</v>
      </c>
      <c r="C143" s="8" t="s">
        <v>59</v>
      </c>
      <c r="D143" s="5" t="s">
        <v>72</v>
      </c>
      <c r="E143" s="13" t="s">
        <v>64</v>
      </c>
      <c r="F143" s="11">
        <v>3.9562219887124005E-4</v>
      </c>
      <c r="G143" t="str">
        <f t="shared" si="9"/>
        <v>Fassadenfarbe</v>
      </c>
      <c r="H143" t="str">
        <f t="shared" si="10"/>
        <v>FF</v>
      </c>
      <c r="I143">
        <f t="shared" si="11"/>
        <v>16.02927478260078</v>
      </c>
      <c r="J143" s="12">
        <f t="shared" si="12"/>
        <v>63.103035209443156</v>
      </c>
    </row>
    <row r="144" spans="1:10">
      <c r="A144" s="3" t="s">
        <v>46</v>
      </c>
      <c r="B144" s="9" t="s">
        <v>74</v>
      </c>
      <c r="C144" s="8" t="s">
        <v>59</v>
      </c>
      <c r="D144" s="5" t="s">
        <v>72</v>
      </c>
      <c r="E144" s="13" t="s">
        <v>65</v>
      </c>
      <c r="F144" s="11">
        <v>1.4795144059030639E-2</v>
      </c>
      <c r="G144" t="str">
        <f t="shared" si="9"/>
        <v>Fassadenfarbe</v>
      </c>
      <c r="H144" t="str">
        <f t="shared" si="10"/>
        <v>FF</v>
      </c>
      <c r="I144">
        <f t="shared" si="11"/>
        <v>16.02927478260078</v>
      </c>
      <c r="J144" s="12">
        <f t="shared" si="12"/>
        <v>2350.3322983121243</v>
      </c>
    </row>
    <row r="145" spans="1:10">
      <c r="A145" s="3" t="s">
        <v>46</v>
      </c>
      <c r="B145" s="9" t="s">
        <v>74</v>
      </c>
      <c r="C145" s="8" t="s">
        <v>59</v>
      </c>
      <c r="D145" s="5" t="s">
        <v>72</v>
      </c>
      <c r="E145" s="13" t="s">
        <v>66</v>
      </c>
      <c r="F145" s="11">
        <v>1.6347316738199588E-4</v>
      </c>
      <c r="G145" t="str">
        <f t="shared" si="9"/>
        <v>Fassadenfarbe</v>
      </c>
      <c r="H145" t="str">
        <f t="shared" si="10"/>
        <v>FF</v>
      </c>
      <c r="I145">
        <f t="shared" si="11"/>
        <v>16.02927478260078</v>
      </c>
      <c r="J145" s="12">
        <f t="shared" si="12"/>
        <v>21.038456829314061</v>
      </c>
    </row>
    <row r="146" spans="1:10">
      <c r="A146" s="3" t="s">
        <v>46</v>
      </c>
      <c r="B146" s="9" t="s">
        <v>75</v>
      </c>
      <c r="C146" s="8" t="s">
        <v>57</v>
      </c>
      <c r="D146" s="5" t="s">
        <v>49</v>
      </c>
      <c r="E146" s="13" t="s">
        <v>50</v>
      </c>
      <c r="F146" s="11">
        <v>6.9478994699272517E-2</v>
      </c>
      <c r="G146" t="str">
        <f t="shared" si="9"/>
        <v>Schiffslackierungen</v>
      </c>
      <c r="H146" t="str">
        <f t="shared" si="10"/>
        <v>SL</v>
      </c>
      <c r="I146">
        <f t="shared" si="11"/>
        <v>13.489680858100405</v>
      </c>
      <c r="J146" s="12">
        <f t="shared" si="12"/>
        <v>21399.085556823742</v>
      </c>
    </row>
    <row r="147" spans="1:10">
      <c r="A147" s="3" t="s">
        <v>46</v>
      </c>
      <c r="B147" s="9" t="s">
        <v>75</v>
      </c>
      <c r="C147" s="8" t="s">
        <v>57</v>
      </c>
      <c r="D147" s="5" t="s">
        <v>49</v>
      </c>
      <c r="E147" s="13" t="s">
        <v>52</v>
      </c>
      <c r="F147" s="11">
        <v>6.5479653168706617E-2</v>
      </c>
      <c r="G147" t="str">
        <f t="shared" si="9"/>
        <v>Schiffslackierungen</v>
      </c>
      <c r="H147" t="str">
        <f t="shared" si="10"/>
        <v>SL</v>
      </c>
      <c r="I147">
        <f t="shared" si="11"/>
        <v>13.489680858100405</v>
      </c>
      <c r="J147" s="12">
        <f t="shared" si="12"/>
        <v>21858.770379494235</v>
      </c>
    </row>
    <row r="148" spans="1:10">
      <c r="A148" s="3" t="s">
        <v>46</v>
      </c>
      <c r="B148" s="9" t="s">
        <v>75</v>
      </c>
      <c r="C148" s="8" t="s">
        <v>57</v>
      </c>
      <c r="D148" s="5" t="s">
        <v>49</v>
      </c>
      <c r="E148" s="13" t="s">
        <v>54</v>
      </c>
      <c r="F148" s="11">
        <v>0.26228992988676209</v>
      </c>
      <c r="G148" t="str">
        <f t="shared" si="9"/>
        <v>Schiffslackierungen</v>
      </c>
      <c r="H148" t="str">
        <f t="shared" si="10"/>
        <v>SL</v>
      </c>
      <c r="I148">
        <f t="shared" si="11"/>
        <v>13.489680858100405</v>
      </c>
      <c r="J148" s="12">
        <f t="shared" si="12"/>
        <v>89461.377180964715</v>
      </c>
    </row>
    <row r="149" spans="1:10">
      <c r="A149" s="3" t="s">
        <v>46</v>
      </c>
      <c r="B149" s="9" t="s">
        <v>75</v>
      </c>
      <c r="C149" s="8" t="s">
        <v>57</v>
      </c>
      <c r="D149" s="5" t="s">
        <v>49</v>
      </c>
      <c r="E149" s="13" t="s">
        <v>56</v>
      </c>
      <c r="F149" s="11">
        <v>9.7011098165748228E-3</v>
      </c>
      <c r="G149" t="str">
        <f t="shared" si="9"/>
        <v>Schiffslackierungen</v>
      </c>
      <c r="H149" t="str">
        <f t="shared" si="10"/>
        <v>SL</v>
      </c>
      <c r="I149">
        <f t="shared" si="11"/>
        <v>13.489680858100405</v>
      </c>
      <c r="J149" s="12">
        <f t="shared" si="12"/>
        <v>3029.3947133829461</v>
      </c>
    </row>
    <row r="150" spans="1:10">
      <c r="A150" s="3" t="s">
        <v>46</v>
      </c>
      <c r="B150" s="9" t="s">
        <v>75</v>
      </c>
      <c r="C150" s="8" t="s">
        <v>57</v>
      </c>
      <c r="D150" s="5" t="s">
        <v>49</v>
      </c>
      <c r="E150" s="13" t="s">
        <v>58</v>
      </c>
      <c r="F150" s="11">
        <v>2.2470318138432272E-2</v>
      </c>
      <c r="G150" t="str">
        <f t="shared" ref="G150:G213" si="13">_xlfn.XLOOKUP(C150,$V$2:$V$7,$T$2:$T$7)</f>
        <v>Schiffslackierungen</v>
      </c>
      <c r="H150" t="str">
        <f t="shared" ref="H150:H213" si="14">_xlfn.XLOOKUP(C150,$V$2:$V$7,$S$2:$S$7)</f>
        <v>SL</v>
      </c>
      <c r="I150">
        <f t="shared" ref="I150:I213" si="15">_xlfn.XLOOKUP(C150,$V$2:$V$7,$U$2:$U$7)</f>
        <v>13.489680858100405</v>
      </c>
      <c r="J150" s="12">
        <f t="shared" si="12"/>
        <v>8253.3173829549796</v>
      </c>
    </row>
    <row r="151" spans="1:10">
      <c r="A151" s="3" t="s">
        <v>46</v>
      </c>
      <c r="B151" s="9" t="s">
        <v>75</v>
      </c>
      <c r="C151" s="8" t="s">
        <v>57</v>
      </c>
      <c r="D151" s="5" t="s">
        <v>49</v>
      </c>
      <c r="E151" s="13" t="s">
        <v>60</v>
      </c>
      <c r="F151" s="11">
        <v>0.61365382294223059</v>
      </c>
      <c r="G151" t="str">
        <f t="shared" si="13"/>
        <v>Schiffslackierungen</v>
      </c>
      <c r="H151" t="str">
        <f t="shared" si="14"/>
        <v>SL</v>
      </c>
      <c r="I151">
        <f t="shared" si="15"/>
        <v>13.489680858100405</v>
      </c>
      <c r="J151" s="12">
        <f t="shared" si="12"/>
        <v>208287.29812819429</v>
      </c>
    </row>
    <row r="152" spans="1:10">
      <c r="A152" s="3" t="s">
        <v>46</v>
      </c>
      <c r="B152" s="9" t="s">
        <v>75</v>
      </c>
      <c r="C152" s="8" t="s">
        <v>57</v>
      </c>
      <c r="D152" s="5" t="s">
        <v>49</v>
      </c>
      <c r="E152" s="13" t="s">
        <v>61</v>
      </c>
      <c r="F152" s="11">
        <v>5.4111573693936604E-3</v>
      </c>
      <c r="G152" t="str">
        <f t="shared" si="13"/>
        <v>Schiffslackierungen</v>
      </c>
      <c r="H152" t="str">
        <f t="shared" si="14"/>
        <v>SL</v>
      </c>
      <c r="I152">
        <f t="shared" si="15"/>
        <v>13.489680858100405</v>
      </c>
      <c r="J152" s="12">
        <f t="shared" si="12"/>
        <v>2050.5540929246363</v>
      </c>
    </row>
    <row r="153" spans="1:10">
      <c r="A153" s="3" t="s">
        <v>46</v>
      </c>
      <c r="B153" s="9" t="s">
        <v>75</v>
      </c>
      <c r="C153" s="8" t="s">
        <v>57</v>
      </c>
      <c r="D153" s="5" t="s">
        <v>49</v>
      </c>
      <c r="E153" s="13" t="s">
        <v>62</v>
      </c>
      <c r="F153" s="11">
        <v>7.3042758279130662E-2</v>
      </c>
      <c r="G153" t="str">
        <f t="shared" si="13"/>
        <v>Schiffslackierungen</v>
      </c>
      <c r="H153" t="str">
        <f t="shared" si="14"/>
        <v>SL</v>
      </c>
      <c r="I153">
        <f t="shared" si="15"/>
        <v>13.489680858100405</v>
      </c>
      <c r="J153" s="12">
        <f t="shared" si="12"/>
        <v>23173.296282153249</v>
      </c>
    </row>
    <row r="154" spans="1:10">
      <c r="A154" s="3" t="s">
        <v>46</v>
      </c>
      <c r="B154" s="9" t="s">
        <v>75</v>
      </c>
      <c r="C154" s="8" t="s">
        <v>57</v>
      </c>
      <c r="D154" s="5" t="s">
        <v>49</v>
      </c>
      <c r="E154" s="13" t="s">
        <v>63</v>
      </c>
      <c r="F154" s="11">
        <v>0.14595946332248336</v>
      </c>
      <c r="G154" t="str">
        <f t="shared" si="13"/>
        <v>Schiffslackierungen</v>
      </c>
      <c r="H154" t="str">
        <f t="shared" si="14"/>
        <v>SL</v>
      </c>
      <c r="I154">
        <f t="shared" si="15"/>
        <v>13.489680858100405</v>
      </c>
      <c r="J154" s="12">
        <f t="shared" si="12"/>
        <v>48524.957744683663</v>
      </c>
    </row>
    <row r="155" spans="1:10">
      <c r="A155" s="3" t="s">
        <v>46</v>
      </c>
      <c r="B155" s="9" t="s">
        <v>75</v>
      </c>
      <c r="C155" s="8" t="s">
        <v>57</v>
      </c>
      <c r="D155" s="5" t="s">
        <v>49</v>
      </c>
      <c r="E155" s="13" t="s">
        <v>64</v>
      </c>
      <c r="F155" s="11">
        <v>0.32328274101180748</v>
      </c>
      <c r="G155" t="str">
        <f t="shared" si="13"/>
        <v>Schiffslackierungen</v>
      </c>
      <c r="H155" t="str">
        <f t="shared" si="14"/>
        <v>SL</v>
      </c>
      <c r="I155">
        <f t="shared" si="15"/>
        <v>13.489680858100405</v>
      </c>
      <c r="J155" s="12">
        <f t="shared" si="12"/>
        <v>84481.093177226518</v>
      </c>
    </row>
    <row r="156" spans="1:10">
      <c r="A156" s="3" t="s">
        <v>46</v>
      </c>
      <c r="B156" s="9" t="s">
        <v>75</v>
      </c>
      <c r="C156" s="8" t="s">
        <v>57</v>
      </c>
      <c r="D156" s="5" t="s">
        <v>49</v>
      </c>
      <c r="E156" s="13" t="s">
        <v>65</v>
      </c>
      <c r="F156" s="11">
        <v>0.15384537021378034</v>
      </c>
      <c r="G156" t="str">
        <f t="shared" si="13"/>
        <v>Schiffslackierungen</v>
      </c>
      <c r="H156" t="str">
        <f t="shared" si="14"/>
        <v>SL</v>
      </c>
      <c r="I156">
        <f t="shared" si="15"/>
        <v>13.489680858100405</v>
      </c>
      <c r="J156" s="12">
        <f t="shared" si="12"/>
        <v>33872.144991807618</v>
      </c>
    </row>
    <row r="157" spans="1:10">
      <c r="A157" s="3" t="s">
        <v>46</v>
      </c>
      <c r="B157" s="9" t="s">
        <v>75</v>
      </c>
      <c r="C157" s="8" t="s">
        <v>57</v>
      </c>
      <c r="D157" s="5" t="s">
        <v>49</v>
      </c>
      <c r="E157" s="13" t="s">
        <v>66</v>
      </c>
      <c r="F157" s="11">
        <v>0.30335044892911789</v>
      </c>
      <c r="G157" t="str">
        <f t="shared" si="13"/>
        <v>Schiffslackierungen</v>
      </c>
      <c r="H157" t="str">
        <f t="shared" si="14"/>
        <v>SL</v>
      </c>
      <c r="I157">
        <f t="shared" si="15"/>
        <v>13.489680858100405</v>
      </c>
      <c r="J157" s="12">
        <f t="shared" si="12"/>
        <v>66434.704111602536</v>
      </c>
    </row>
    <row r="158" spans="1:10">
      <c r="A158" s="3" t="s">
        <v>46</v>
      </c>
      <c r="B158" s="9" t="s">
        <v>75</v>
      </c>
      <c r="C158" s="8" t="s">
        <v>57</v>
      </c>
      <c r="D158" s="5" t="s">
        <v>67</v>
      </c>
      <c r="E158" s="13" t="s">
        <v>50</v>
      </c>
      <c r="F158" s="11">
        <v>0.25135947413948551</v>
      </c>
      <c r="G158" t="str">
        <f t="shared" si="13"/>
        <v>Schiffslackierungen</v>
      </c>
      <c r="H158" t="str">
        <f t="shared" si="14"/>
        <v>SL</v>
      </c>
      <c r="I158">
        <f t="shared" si="15"/>
        <v>13.489680858100405</v>
      </c>
      <c r="J158" s="12">
        <f t="shared" si="12"/>
        <v>77417.108809799684</v>
      </c>
    </row>
    <row r="159" spans="1:10">
      <c r="A159" s="3" t="s">
        <v>46</v>
      </c>
      <c r="B159" s="9" t="s">
        <v>75</v>
      </c>
      <c r="C159" s="8" t="s">
        <v>57</v>
      </c>
      <c r="D159" s="5" t="s">
        <v>67</v>
      </c>
      <c r="E159" s="13" t="s">
        <v>52</v>
      </c>
      <c r="F159" s="11">
        <v>1.0006052575909651E-2</v>
      </c>
      <c r="G159" t="str">
        <f t="shared" si="13"/>
        <v>Schiffslackierungen</v>
      </c>
      <c r="H159" t="str">
        <f t="shared" si="14"/>
        <v>SL</v>
      </c>
      <c r="I159">
        <f t="shared" si="15"/>
        <v>13.489680858100405</v>
      </c>
      <c r="J159" s="12">
        <f t="shared" si="12"/>
        <v>3340.2743459625467</v>
      </c>
    </row>
    <row r="160" spans="1:10">
      <c r="A160" s="3" t="s">
        <v>46</v>
      </c>
      <c r="B160" s="9" t="s">
        <v>75</v>
      </c>
      <c r="C160" s="8" t="s">
        <v>57</v>
      </c>
      <c r="D160" s="5" t="s">
        <v>67</v>
      </c>
      <c r="E160" s="13" t="s">
        <v>54</v>
      </c>
      <c r="F160" s="11">
        <v>0.57291208757710543</v>
      </c>
      <c r="G160" t="str">
        <f t="shared" si="13"/>
        <v>Schiffslackierungen</v>
      </c>
      <c r="H160" t="str">
        <f t="shared" si="14"/>
        <v>SL</v>
      </c>
      <c r="I160">
        <f t="shared" si="15"/>
        <v>13.489680858100405</v>
      </c>
      <c r="J160" s="12">
        <f t="shared" si="12"/>
        <v>195407.82362630882</v>
      </c>
    </row>
    <row r="161" spans="1:10">
      <c r="A161" s="3" t="s">
        <v>46</v>
      </c>
      <c r="B161" s="9" t="s">
        <v>75</v>
      </c>
      <c r="C161" s="8" t="s">
        <v>57</v>
      </c>
      <c r="D161" s="5" t="s">
        <v>67</v>
      </c>
      <c r="E161" s="13" t="s">
        <v>56</v>
      </c>
      <c r="F161" s="11">
        <v>1.5315978156119183E-2</v>
      </c>
      <c r="G161" t="str">
        <f t="shared" si="13"/>
        <v>Schiffslackierungen</v>
      </c>
      <c r="H161" t="str">
        <f t="shared" si="14"/>
        <v>SL</v>
      </c>
      <c r="I161">
        <f t="shared" si="15"/>
        <v>13.489680858100405</v>
      </c>
      <c r="J161" s="12">
        <f t="shared" si="12"/>
        <v>4782.7665219460378</v>
      </c>
    </row>
    <row r="162" spans="1:10">
      <c r="A162" s="3" t="s">
        <v>46</v>
      </c>
      <c r="B162" s="9" t="s">
        <v>75</v>
      </c>
      <c r="C162" s="8" t="s">
        <v>57</v>
      </c>
      <c r="D162" s="5" t="s">
        <v>67</v>
      </c>
      <c r="E162" s="13" t="s">
        <v>58</v>
      </c>
      <c r="F162" s="11">
        <v>0.77454496621691404</v>
      </c>
      <c r="G162" t="str">
        <f t="shared" si="13"/>
        <v>Schiffslackierungen</v>
      </c>
      <c r="H162" t="str">
        <f t="shared" si="14"/>
        <v>SL</v>
      </c>
      <c r="I162">
        <f t="shared" si="15"/>
        <v>13.489680858100405</v>
      </c>
      <c r="J162" s="12">
        <f t="shared" si="12"/>
        <v>284489.31582436134</v>
      </c>
    </row>
    <row r="163" spans="1:10">
      <c r="A163" s="3" t="s">
        <v>46</v>
      </c>
      <c r="B163" s="9" t="s">
        <v>75</v>
      </c>
      <c r="C163" s="8" t="s">
        <v>57</v>
      </c>
      <c r="D163" s="5" t="s">
        <v>67</v>
      </c>
      <c r="E163" s="13" t="s">
        <v>60</v>
      </c>
      <c r="F163" s="11">
        <v>6.8001174671087045E-2</v>
      </c>
      <c r="G163" t="str">
        <f t="shared" si="13"/>
        <v>Schiffslackierungen</v>
      </c>
      <c r="H163" t="str">
        <f t="shared" si="14"/>
        <v>SL</v>
      </c>
      <c r="I163">
        <f t="shared" si="15"/>
        <v>13.489680858100405</v>
      </c>
      <c r="J163" s="12">
        <f t="shared" si="12"/>
        <v>23081.060383318923</v>
      </c>
    </row>
    <row r="164" spans="1:10">
      <c r="A164" s="3" t="s">
        <v>46</v>
      </c>
      <c r="B164" s="9" t="s">
        <v>75</v>
      </c>
      <c r="C164" s="8" t="s">
        <v>57</v>
      </c>
      <c r="D164" s="5" t="s">
        <v>67</v>
      </c>
      <c r="E164" s="13" t="s">
        <v>61</v>
      </c>
      <c r="F164" s="11">
        <v>0.19227976614620967</v>
      </c>
      <c r="G164" t="str">
        <f t="shared" si="13"/>
        <v>Schiffslackierungen</v>
      </c>
      <c r="H164" t="str">
        <f t="shared" si="14"/>
        <v>SL</v>
      </c>
      <c r="I164">
        <f t="shared" si="15"/>
        <v>13.489680858100405</v>
      </c>
      <c r="J164" s="12">
        <f t="shared" si="12"/>
        <v>72864.275522240569</v>
      </c>
    </row>
    <row r="165" spans="1:10">
      <c r="A165" s="3" t="s">
        <v>46</v>
      </c>
      <c r="B165" s="9" t="s">
        <v>75</v>
      </c>
      <c r="C165" s="8" t="s">
        <v>57</v>
      </c>
      <c r="D165" s="5" t="s">
        <v>67</v>
      </c>
      <c r="E165" s="13" t="s">
        <v>62</v>
      </c>
      <c r="F165" s="11">
        <v>0.16373444229118669</v>
      </c>
      <c r="G165" t="str">
        <f t="shared" si="13"/>
        <v>Schiffslackierungen</v>
      </c>
      <c r="H165" t="str">
        <f t="shared" si="14"/>
        <v>SL</v>
      </c>
      <c r="I165">
        <f t="shared" si="15"/>
        <v>13.489680858100405</v>
      </c>
      <c r="J165" s="12">
        <f t="shared" si="12"/>
        <v>51945.830527197766</v>
      </c>
    </row>
    <row r="166" spans="1:10">
      <c r="A166" s="3" t="s">
        <v>46</v>
      </c>
      <c r="B166" s="9" t="s">
        <v>75</v>
      </c>
      <c r="C166" s="8" t="s">
        <v>57</v>
      </c>
      <c r="D166" s="5" t="s">
        <v>67</v>
      </c>
      <c r="E166" s="13" t="s">
        <v>63</v>
      </c>
      <c r="F166" s="11">
        <v>0.27242626583818985</v>
      </c>
      <c r="G166" t="str">
        <f t="shared" si="13"/>
        <v>Schiffslackierungen</v>
      </c>
      <c r="H166" t="str">
        <f t="shared" si="14"/>
        <v>SL</v>
      </c>
      <c r="I166">
        <f t="shared" si="15"/>
        <v>13.489680858100405</v>
      </c>
      <c r="J166" s="12">
        <f t="shared" si="12"/>
        <v>90569.482357803499</v>
      </c>
    </row>
    <row r="167" spans="1:10">
      <c r="A167" s="3" t="s">
        <v>46</v>
      </c>
      <c r="B167" s="9" t="s">
        <v>75</v>
      </c>
      <c r="C167" s="8" t="s">
        <v>57</v>
      </c>
      <c r="D167" s="5" t="s">
        <v>67</v>
      </c>
      <c r="E167" s="13" t="s">
        <v>64</v>
      </c>
      <c r="F167" s="11">
        <v>0.57628393735927275</v>
      </c>
      <c r="G167" t="str">
        <f t="shared" si="13"/>
        <v>Schiffslackierungen</v>
      </c>
      <c r="H167" t="str">
        <f t="shared" si="14"/>
        <v>SL</v>
      </c>
      <c r="I167">
        <f t="shared" si="15"/>
        <v>13.489680858100405</v>
      </c>
      <c r="J167" s="12">
        <f t="shared" si="12"/>
        <v>150596.02890093514</v>
      </c>
    </row>
    <row r="168" spans="1:10">
      <c r="A168" s="3" t="s">
        <v>46</v>
      </c>
      <c r="B168" s="9" t="s">
        <v>75</v>
      </c>
      <c r="C168" s="8" t="s">
        <v>57</v>
      </c>
      <c r="D168" s="5" t="s">
        <v>67</v>
      </c>
      <c r="E168" s="13" t="s">
        <v>65</v>
      </c>
      <c r="F168" s="11">
        <v>2.4753534804464374E-2</v>
      </c>
      <c r="G168" t="str">
        <f t="shared" si="13"/>
        <v>Schiffslackierungen</v>
      </c>
      <c r="H168" t="str">
        <f t="shared" si="14"/>
        <v>SL</v>
      </c>
      <c r="I168">
        <f t="shared" si="15"/>
        <v>13.489680858100405</v>
      </c>
      <c r="J168" s="12">
        <f t="shared" si="12"/>
        <v>5449.9873398300742</v>
      </c>
    </row>
    <row r="169" spans="1:10">
      <c r="A169" s="3" t="s">
        <v>46</v>
      </c>
      <c r="B169" s="9" t="s">
        <v>75</v>
      </c>
      <c r="C169" s="8" t="s">
        <v>57</v>
      </c>
      <c r="D169" s="5" t="s">
        <v>67</v>
      </c>
      <c r="E169" s="13" t="s">
        <v>66</v>
      </c>
      <c r="F169" s="11">
        <v>0.57968343966536418</v>
      </c>
      <c r="G169" t="str">
        <f t="shared" si="13"/>
        <v>Schiffslackierungen</v>
      </c>
      <c r="H169" t="str">
        <f t="shared" si="14"/>
        <v>SL</v>
      </c>
      <c r="I169">
        <f t="shared" si="15"/>
        <v>13.489680858100405</v>
      </c>
      <c r="J169" s="12">
        <f t="shared" si="12"/>
        <v>126952.49975240065</v>
      </c>
    </row>
    <row r="170" spans="1:10">
      <c r="A170" s="3" t="s">
        <v>46</v>
      </c>
      <c r="B170" s="9" t="s">
        <v>75</v>
      </c>
      <c r="C170" s="8" t="s">
        <v>57</v>
      </c>
      <c r="D170" s="5" t="s">
        <v>71</v>
      </c>
      <c r="E170" s="13" t="s">
        <v>50</v>
      </c>
      <c r="F170" s="11">
        <v>0.67904722359788205</v>
      </c>
      <c r="G170" t="str">
        <f t="shared" si="13"/>
        <v>Schiffslackierungen</v>
      </c>
      <c r="H170" t="str">
        <f t="shared" si="14"/>
        <v>SL</v>
      </c>
      <c r="I170">
        <f t="shared" si="15"/>
        <v>13.489680858100405</v>
      </c>
      <c r="J170" s="12">
        <f t="shared" si="12"/>
        <v>209142.19754890681</v>
      </c>
    </row>
    <row r="171" spans="1:10">
      <c r="A171" s="3" t="s">
        <v>46</v>
      </c>
      <c r="B171" s="9" t="s">
        <v>75</v>
      </c>
      <c r="C171" s="8" t="s">
        <v>57</v>
      </c>
      <c r="D171" s="5" t="s">
        <v>71</v>
      </c>
      <c r="E171" s="13" t="s">
        <v>52</v>
      </c>
      <c r="F171" s="11">
        <v>0.92451429425538367</v>
      </c>
      <c r="G171" t="str">
        <f t="shared" si="13"/>
        <v>Schiffslackierungen</v>
      </c>
      <c r="H171" t="str">
        <f t="shared" si="14"/>
        <v>SL</v>
      </c>
      <c r="I171">
        <f t="shared" si="15"/>
        <v>13.489680858100405</v>
      </c>
      <c r="J171" s="12">
        <f t="shared" si="12"/>
        <v>308626.33952292468</v>
      </c>
    </row>
    <row r="172" spans="1:10">
      <c r="A172" s="3" t="s">
        <v>46</v>
      </c>
      <c r="B172" s="9" t="s">
        <v>75</v>
      </c>
      <c r="C172" s="8" t="s">
        <v>57</v>
      </c>
      <c r="D172" s="5" t="s">
        <v>71</v>
      </c>
      <c r="E172" s="13" t="s">
        <v>54</v>
      </c>
      <c r="F172" s="11">
        <v>0.16117804746700795</v>
      </c>
      <c r="G172" t="str">
        <f t="shared" si="13"/>
        <v>Schiffslackierungen</v>
      </c>
      <c r="H172" t="str">
        <f t="shared" si="14"/>
        <v>SL</v>
      </c>
      <c r="I172">
        <f t="shared" si="15"/>
        <v>13.489680858100405</v>
      </c>
      <c r="J172" s="12">
        <f t="shared" si="12"/>
        <v>54974.318320046099</v>
      </c>
    </row>
    <row r="173" spans="1:10">
      <c r="A173" s="3" t="s">
        <v>46</v>
      </c>
      <c r="B173" s="9" t="s">
        <v>75</v>
      </c>
      <c r="C173" s="8" t="s">
        <v>57</v>
      </c>
      <c r="D173" s="5" t="s">
        <v>71</v>
      </c>
      <c r="E173" s="13" t="s">
        <v>56</v>
      </c>
      <c r="F173" s="11">
        <v>0.96498992863873045</v>
      </c>
      <c r="G173" t="str">
        <f t="shared" si="13"/>
        <v>Schiffslackierungen</v>
      </c>
      <c r="H173" t="str">
        <f t="shared" si="14"/>
        <v>SL</v>
      </c>
      <c r="I173">
        <f t="shared" si="15"/>
        <v>13.489680858100405</v>
      </c>
      <c r="J173" s="12">
        <f t="shared" si="12"/>
        <v>301340.30472382595</v>
      </c>
    </row>
    <row r="174" spans="1:10">
      <c r="A174" s="3" t="s">
        <v>46</v>
      </c>
      <c r="B174" s="9" t="s">
        <v>75</v>
      </c>
      <c r="C174" s="8" t="s">
        <v>57</v>
      </c>
      <c r="D174" s="5" t="s">
        <v>71</v>
      </c>
      <c r="E174" s="13" t="s">
        <v>58</v>
      </c>
      <c r="F174" s="11">
        <v>0.20230638503411047</v>
      </c>
      <c r="G174" t="str">
        <f t="shared" si="13"/>
        <v>Schiffslackierungen</v>
      </c>
      <c r="H174" t="str">
        <f t="shared" si="14"/>
        <v>SL</v>
      </c>
      <c r="I174">
        <f t="shared" si="15"/>
        <v>13.489680858100405</v>
      </c>
      <c r="J174" s="12">
        <f t="shared" si="12"/>
        <v>74306.860899713996</v>
      </c>
    </row>
    <row r="175" spans="1:10">
      <c r="A175" s="3" t="s">
        <v>46</v>
      </c>
      <c r="B175" s="9" t="s">
        <v>75</v>
      </c>
      <c r="C175" s="8" t="s">
        <v>57</v>
      </c>
      <c r="D175" s="5" t="s">
        <v>71</v>
      </c>
      <c r="E175" s="13" t="s">
        <v>60</v>
      </c>
      <c r="F175" s="11">
        <v>0.31834500238668229</v>
      </c>
      <c r="G175" t="str">
        <f t="shared" si="13"/>
        <v>Schiffslackierungen</v>
      </c>
      <c r="H175" t="str">
        <f t="shared" si="14"/>
        <v>SL</v>
      </c>
      <c r="I175">
        <f t="shared" si="15"/>
        <v>13.489680858100405</v>
      </c>
      <c r="J175" s="12">
        <f t="shared" si="12"/>
        <v>108053.13670469512</v>
      </c>
    </row>
    <row r="176" spans="1:10">
      <c r="A176" s="3" t="s">
        <v>46</v>
      </c>
      <c r="B176" s="9" t="s">
        <v>75</v>
      </c>
      <c r="C176" s="8" t="s">
        <v>57</v>
      </c>
      <c r="D176" s="5" t="s">
        <v>71</v>
      </c>
      <c r="E176" s="13" t="s">
        <v>61</v>
      </c>
      <c r="F176" s="11">
        <v>0.79818667487275341</v>
      </c>
      <c r="G176" t="str">
        <f t="shared" si="13"/>
        <v>Schiffslackierungen</v>
      </c>
      <c r="H176" t="str">
        <f t="shared" si="14"/>
        <v>SL</v>
      </c>
      <c r="I176">
        <f t="shared" si="15"/>
        <v>13.489680858100405</v>
      </c>
      <c r="J176" s="12">
        <f t="shared" si="12"/>
        <v>302472.25156226259</v>
      </c>
    </row>
    <row r="177" spans="1:10">
      <c r="A177" s="3" t="s">
        <v>46</v>
      </c>
      <c r="B177" s="9" t="s">
        <v>75</v>
      </c>
      <c r="C177" s="8" t="s">
        <v>57</v>
      </c>
      <c r="D177" s="5" t="s">
        <v>71</v>
      </c>
      <c r="E177" s="13" t="s">
        <v>62</v>
      </c>
      <c r="F177" s="11">
        <v>0.76155007727613122</v>
      </c>
      <c r="G177" t="str">
        <f t="shared" si="13"/>
        <v>Schiffslackierungen</v>
      </c>
      <c r="H177" t="str">
        <f t="shared" si="14"/>
        <v>SL</v>
      </c>
      <c r="I177">
        <f t="shared" si="15"/>
        <v>13.489680858100405</v>
      </c>
      <c r="J177" s="12">
        <f t="shared" si="12"/>
        <v>241606.77923712344</v>
      </c>
    </row>
    <row r="178" spans="1:10">
      <c r="A178" s="3" t="s">
        <v>46</v>
      </c>
      <c r="B178" s="9" t="s">
        <v>75</v>
      </c>
      <c r="C178" s="8" t="s">
        <v>57</v>
      </c>
      <c r="D178" s="5" t="s">
        <v>71</v>
      </c>
      <c r="E178" s="13" t="s">
        <v>63</v>
      </c>
      <c r="F178" s="11">
        <v>0.57972138215591462</v>
      </c>
      <c r="G178" t="str">
        <f t="shared" si="13"/>
        <v>Schiffslackierungen</v>
      </c>
      <c r="H178" t="str">
        <f t="shared" si="14"/>
        <v>SL</v>
      </c>
      <c r="I178">
        <f t="shared" si="15"/>
        <v>13.489680858100405</v>
      </c>
      <c r="J178" s="12">
        <f t="shared" si="12"/>
        <v>192731.28944474627</v>
      </c>
    </row>
    <row r="179" spans="1:10">
      <c r="A179" s="3" t="s">
        <v>46</v>
      </c>
      <c r="B179" s="9" t="s">
        <v>75</v>
      </c>
      <c r="C179" s="8" t="s">
        <v>57</v>
      </c>
      <c r="D179" s="5" t="s">
        <v>71</v>
      </c>
      <c r="E179" s="13" t="s">
        <v>64</v>
      </c>
      <c r="F179" s="11">
        <v>0.10010280860981328</v>
      </c>
      <c r="G179" t="str">
        <f t="shared" si="13"/>
        <v>Schiffslackierungen</v>
      </c>
      <c r="H179" t="str">
        <f t="shared" si="14"/>
        <v>SL</v>
      </c>
      <c r="I179">
        <f t="shared" si="15"/>
        <v>13.489680858100405</v>
      </c>
      <c r="J179" s="12">
        <f t="shared" si="12"/>
        <v>26159.128306694343</v>
      </c>
    </row>
    <row r="180" spans="1:10">
      <c r="A180" s="3" t="s">
        <v>46</v>
      </c>
      <c r="B180" s="9" t="s">
        <v>75</v>
      </c>
      <c r="C180" s="8" t="s">
        <v>57</v>
      </c>
      <c r="D180" s="5" t="s">
        <v>71</v>
      </c>
      <c r="E180" s="13" t="s">
        <v>65</v>
      </c>
      <c r="F180" s="11">
        <v>0.82125235701880561</v>
      </c>
      <c r="G180" t="str">
        <f t="shared" si="13"/>
        <v>Schiffslackierungen</v>
      </c>
      <c r="H180" t="str">
        <f t="shared" si="14"/>
        <v>SL</v>
      </c>
      <c r="I180">
        <f t="shared" si="15"/>
        <v>13.489680858100405</v>
      </c>
      <c r="J180" s="12">
        <f t="shared" si="12"/>
        <v>180815.18392883716</v>
      </c>
    </row>
    <row r="181" spans="1:10">
      <c r="A181" s="3" t="s">
        <v>46</v>
      </c>
      <c r="B181" s="9" t="s">
        <v>75</v>
      </c>
      <c r="C181" s="8" t="s">
        <v>57</v>
      </c>
      <c r="D181" s="5" t="s">
        <v>71</v>
      </c>
      <c r="E181" s="13" t="s">
        <v>66</v>
      </c>
      <c r="F181" s="11">
        <v>8.3206041032515388E-2</v>
      </c>
      <c r="G181" t="str">
        <f t="shared" si="13"/>
        <v>Schiffslackierungen</v>
      </c>
      <c r="H181" t="str">
        <f t="shared" si="14"/>
        <v>SL</v>
      </c>
      <c r="I181">
        <f t="shared" si="15"/>
        <v>13.489680858100405</v>
      </c>
      <c r="J181" s="12">
        <f t="shared" si="12"/>
        <v>18222.385151586375</v>
      </c>
    </row>
    <row r="182" spans="1:10">
      <c r="A182" s="3" t="s">
        <v>46</v>
      </c>
      <c r="B182" s="9" t="s">
        <v>75</v>
      </c>
      <c r="C182" s="8" t="s">
        <v>57</v>
      </c>
      <c r="D182" s="5" t="s">
        <v>72</v>
      </c>
      <c r="E182" s="13" t="s">
        <v>50</v>
      </c>
      <c r="F182" s="11">
        <v>1.1430756335996794E-4</v>
      </c>
      <c r="G182" t="str">
        <f t="shared" si="13"/>
        <v>Schiffslackierungen</v>
      </c>
      <c r="H182" t="str">
        <f t="shared" si="14"/>
        <v>SL</v>
      </c>
      <c r="I182">
        <f t="shared" si="15"/>
        <v>13.489680858100405</v>
      </c>
      <c r="J182" s="12">
        <f t="shared" si="12"/>
        <v>35.205997707931957</v>
      </c>
    </row>
    <row r="183" spans="1:10">
      <c r="A183" s="3" t="s">
        <v>46</v>
      </c>
      <c r="B183" s="9" t="s">
        <v>75</v>
      </c>
      <c r="C183" s="8" t="s">
        <v>57</v>
      </c>
      <c r="D183" s="5" t="s">
        <v>72</v>
      </c>
      <c r="E183" s="13" t="s">
        <v>52</v>
      </c>
      <c r="F183" s="11">
        <v>0</v>
      </c>
      <c r="G183" t="str">
        <f t="shared" si="13"/>
        <v>Schiffslackierungen</v>
      </c>
      <c r="H183" t="str">
        <f t="shared" si="14"/>
        <v>SL</v>
      </c>
      <c r="I183">
        <f t="shared" si="15"/>
        <v>13.489680858100405</v>
      </c>
      <c r="J183" s="12">
        <f t="shared" si="12"/>
        <v>0</v>
      </c>
    </row>
    <row r="184" spans="1:10">
      <c r="A184" s="3" t="s">
        <v>46</v>
      </c>
      <c r="B184" s="9" t="s">
        <v>75</v>
      </c>
      <c r="C184" s="8" t="s">
        <v>57</v>
      </c>
      <c r="D184" s="5" t="s">
        <v>72</v>
      </c>
      <c r="E184" s="13" t="s">
        <v>54</v>
      </c>
      <c r="F184" s="11">
        <v>3.6199350691244413E-3</v>
      </c>
      <c r="G184" t="str">
        <f t="shared" si="13"/>
        <v>Schiffslackierungen</v>
      </c>
      <c r="H184" t="str">
        <f t="shared" si="14"/>
        <v>SL</v>
      </c>
      <c r="I184">
        <f t="shared" si="15"/>
        <v>13.489680858100405</v>
      </c>
      <c r="J184" s="12">
        <f t="shared" si="12"/>
        <v>1234.6809377293132</v>
      </c>
    </row>
    <row r="185" spans="1:10">
      <c r="A185" s="3" t="s">
        <v>46</v>
      </c>
      <c r="B185" s="9" t="s">
        <v>75</v>
      </c>
      <c r="C185" s="8" t="s">
        <v>57</v>
      </c>
      <c r="D185" s="5" t="s">
        <v>72</v>
      </c>
      <c r="E185" s="13" t="s">
        <v>56</v>
      </c>
      <c r="F185" s="11">
        <v>9.9929833885755749E-3</v>
      </c>
      <c r="G185" t="str">
        <f t="shared" si="13"/>
        <v>Schiffslackierungen</v>
      </c>
      <c r="H185" t="str">
        <f t="shared" si="14"/>
        <v>SL</v>
      </c>
      <c r="I185">
        <f t="shared" si="15"/>
        <v>13.489680858100405</v>
      </c>
      <c r="J185" s="12">
        <f t="shared" si="12"/>
        <v>3120.5389507654127</v>
      </c>
    </row>
    <row r="186" spans="1:10">
      <c r="A186" s="3" t="s">
        <v>46</v>
      </c>
      <c r="B186" s="9" t="s">
        <v>75</v>
      </c>
      <c r="C186" s="8" t="s">
        <v>57</v>
      </c>
      <c r="D186" s="5" t="s">
        <v>72</v>
      </c>
      <c r="E186" s="13" t="s">
        <v>58</v>
      </c>
      <c r="F186" s="11">
        <v>6.7833061054312061E-4</v>
      </c>
      <c r="G186" t="str">
        <f t="shared" si="13"/>
        <v>Schiffslackierungen</v>
      </c>
      <c r="H186" t="str">
        <f t="shared" si="14"/>
        <v>SL</v>
      </c>
      <c r="I186">
        <f t="shared" si="15"/>
        <v>13.489680858100405</v>
      </c>
      <c r="J186" s="12">
        <f t="shared" si="12"/>
        <v>249.14991345007283</v>
      </c>
    </row>
    <row r="187" spans="1:10">
      <c r="A187" s="3" t="s">
        <v>46</v>
      </c>
      <c r="B187" s="9" t="s">
        <v>75</v>
      </c>
      <c r="C187" s="8" t="s">
        <v>57</v>
      </c>
      <c r="D187" s="5" t="s">
        <v>72</v>
      </c>
      <c r="E187" s="13" t="s">
        <v>60</v>
      </c>
      <c r="F187" s="11">
        <v>0</v>
      </c>
      <c r="G187" t="str">
        <f t="shared" si="13"/>
        <v>Schiffslackierungen</v>
      </c>
      <c r="H187" t="str">
        <f t="shared" si="14"/>
        <v>SL</v>
      </c>
      <c r="I187">
        <f t="shared" si="15"/>
        <v>13.489680858100405</v>
      </c>
      <c r="J187" s="12">
        <f t="shared" si="12"/>
        <v>0</v>
      </c>
    </row>
    <row r="188" spans="1:10">
      <c r="A188" s="3" t="s">
        <v>46</v>
      </c>
      <c r="B188" s="9" t="s">
        <v>75</v>
      </c>
      <c r="C188" s="8" t="s">
        <v>57</v>
      </c>
      <c r="D188" s="5" t="s">
        <v>72</v>
      </c>
      <c r="E188" s="13" t="s">
        <v>61</v>
      </c>
      <c r="F188" s="11">
        <v>4.1224016116433223E-3</v>
      </c>
      <c r="G188" t="str">
        <f t="shared" si="13"/>
        <v>Schiffslackierungen</v>
      </c>
      <c r="H188" t="str">
        <f t="shared" si="14"/>
        <v>SL</v>
      </c>
      <c r="I188">
        <f t="shared" si="15"/>
        <v>13.489680858100405</v>
      </c>
      <c r="J188" s="12">
        <f t="shared" si="12"/>
        <v>1562.1810493346534</v>
      </c>
    </row>
    <row r="189" spans="1:10">
      <c r="A189" s="3" t="s">
        <v>46</v>
      </c>
      <c r="B189" s="9" t="s">
        <v>75</v>
      </c>
      <c r="C189" s="8" t="s">
        <v>57</v>
      </c>
      <c r="D189" s="5" t="s">
        <v>72</v>
      </c>
      <c r="E189" s="13" t="s">
        <v>62</v>
      </c>
      <c r="F189" s="11">
        <v>1.6727221535514385E-3</v>
      </c>
      <c r="G189" t="str">
        <f t="shared" si="13"/>
        <v>Schiffslackierungen</v>
      </c>
      <c r="H189" t="str">
        <f t="shared" si="14"/>
        <v>SL</v>
      </c>
      <c r="I189">
        <f t="shared" si="15"/>
        <v>13.489680858100405</v>
      </c>
      <c r="J189" s="12">
        <f t="shared" si="12"/>
        <v>530.68212339188062</v>
      </c>
    </row>
    <row r="190" spans="1:10">
      <c r="A190" s="3" t="s">
        <v>46</v>
      </c>
      <c r="B190" s="9" t="s">
        <v>75</v>
      </c>
      <c r="C190" s="8" t="s">
        <v>57</v>
      </c>
      <c r="D190" s="5" t="s">
        <v>72</v>
      </c>
      <c r="E190" s="13" t="s">
        <v>63</v>
      </c>
      <c r="F190" s="11">
        <v>1.8928886834121449E-3</v>
      </c>
      <c r="G190" t="str">
        <f t="shared" si="13"/>
        <v>Schiffslackierungen</v>
      </c>
      <c r="H190" t="str">
        <f t="shared" si="14"/>
        <v>SL</v>
      </c>
      <c r="I190">
        <f t="shared" si="15"/>
        <v>13.489680858100405</v>
      </c>
      <c r="J190" s="12">
        <f t="shared" si="12"/>
        <v>629.30036386215909</v>
      </c>
    </row>
    <row r="191" spans="1:10">
      <c r="A191" s="3" t="s">
        <v>46</v>
      </c>
      <c r="B191" s="9" t="s">
        <v>75</v>
      </c>
      <c r="C191" s="8" t="s">
        <v>57</v>
      </c>
      <c r="D191" s="5" t="s">
        <v>72</v>
      </c>
      <c r="E191" s="13" t="s">
        <v>64</v>
      </c>
      <c r="F191" s="11">
        <v>3.305130191065281E-4</v>
      </c>
      <c r="G191" t="str">
        <f t="shared" si="13"/>
        <v>Schiffslackierungen</v>
      </c>
      <c r="H191" t="str">
        <f t="shared" si="14"/>
        <v>SL</v>
      </c>
      <c r="I191">
        <f t="shared" si="15"/>
        <v>13.489680858100405</v>
      </c>
      <c r="J191" s="12">
        <f t="shared" si="12"/>
        <v>86.370528398870604</v>
      </c>
    </row>
    <row r="192" spans="1:10">
      <c r="A192" s="3" t="s">
        <v>46</v>
      </c>
      <c r="B192" s="9" t="s">
        <v>75</v>
      </c>
      <c r="C192" s="8" t="s">
        <v>57</v>
      </c>
      <c r="D192" s="5" t="s">
        <v>72</v>
      </c>
      <c r="E192" s="13" t="s">
        <v>65</v>
      </c>
      <c r="F192" s="11">
        <v>1.487379629497063E-4</v>
      </c>
      <c r="G192" t="str">
        <f t="shared" si="13"/>
        <v>Schiffslackierungen</v>
      </c>
      <c r="H192" t="str">
        <f t="shared" si="14"/>
        <v>SL</v>
      </c>
      <c r="I192">
        <f t="shared" si="15"/>
        <v>13.489680858100405</v>
      </c>
      <c r="J192" s="12">
        <f t="shared" si="12"/>
        <v>32.747646808075913</v>
      </c>
    </row>
    <row r="193" spans="1:10">
      <c r="A193" s="3" t="s">
        <v>46</v>
      </c>
      <c r="B193" s="9" t="s">
        <v>75</v>
      </c>
      <c r="C193" s="8" t="s">
        <v>57</v>
      </c>
      <c r="D193" s="5" t="s">
        <v>72</v>
      </c>
      <c r="E193" s="13" t="s">
        <v>66</v>
      </c>
      <c r="F193" s="11">
        <v>3.3760070373002542E-2</v>
      </c>
      <c r="G193" t="str">
        <f t="shared" si="13"/>
        <v>Schiffslackierungen</v>
      </c>
      <c r="H193" t="str">
        <f t="shared" si="14"/>
        <v>SL</v>
      </c>
      <c r="I193">
        <f t="shared" si="15"/>
        <v>13.489680858100405</v>
      </c>
      <c r="J193" s="12">
        <f t="shared" si="12"/>
        <v>7393.5617828651175</v>
      </c>
    </row>
    <row r="194" spans="1:10">
      <c r="A194" s="3" t="s">
        <v>46</v>
      </c>
      <c r="B194" s="9" t="s">
        <v>76</v>
      </c>
      <c r="C194" s="8" t="s">
        <v>55</v>
      </c>
      <c r="D194" s="5" t="s">
        <v>49</v>
      </c>
      <c r="E194" s="13" t="s">
        <v>50</v>
      </c>
      <c r="F194" s="11">
        <v>0.12844681006261371</v>
      </c>
      <c r="G194" t="str">
        <f t="shared" si="13"/>
        <v>Autolackierungen</v>
      </c>
      <c r="H194" t="str">
        <f t="shared" si="14"/>
        <v>AL</v>
      </c>
      <c r="I194">
        <f t="shared" si="15"/>
        <v>13.349324281948988</v>
      </c>
      <c r="J194" s="12">
        <f t="shared" si="12"/>
        <v>46055.549355963209</v>
      </c>
    </row>
    <row r="195" spans="1:10">
      <c r="A195" s="3" t="s">
        <v>46</v>
      </c>
      <c r="B195" s="9" t="s">
        <v>76</v>
      </c>
      <c r="C195" s="8" t="s">
        <v>55</v>
      </c>
      <c r="D195" s="5" t="s">
        <v>49</v>
      </c>
      <c r="E195" s="13" t="s">
        <v>52</v>
      </c>
      <c r="F195" s="11">
        <v>0.12460608398491051</v>
      </c>
      <c r="G195" t="str">
        <f t="shared" si="13"/>
        <v>Autolackierungen</v>
      </c>
      <c r="H195" t="str">
        <f t="shared" si="14"/>
        <v>AL</v>
      </c>
      <c r="I195">
        <f t="shared" si="15"/>
        <v>13.349324281948988</v>
      </c>
      <c r="J195" s="12">
        <f t="shared" ref="J195:J258" si="16">INDEX($P$16:$AF$22,MATCH(H195,$P$16:$P$22,0),MATCH(E195,$P$16:$AF$16,0))*F195/I195</f>
        <v>36889.593801527335</v>
      </c>
    </row>
    <row r="196" spans="1:10">
      <c r="A196" s="3" t="s">
        <v>46</v>
      </c>
      <c r="B196" s="9" t="s">
        <v>76</v>
      </c>
      <c r="C196" s="8" t="s">
        <v>55</v>
      </c>
      <c r="D196" s="5" t="s">
        <v>49</v>
      </c>
      <c r="E196" s="13" t="s">
        <v>54</v>
      </c>
      <c r="F196" s="11">
        <v>0.75120456711832162</v>
      </c>
      <c r="G196" t="str">
        <f t="shared" si="13"/>
        <v>Autolackierungen</v>
      </c>
      <c r="H196" t="str">
        <f t="shared" si="14"/>
        <v>AL</v>
      </c>
      <c r="I196">
        <f t="shared" si="15"/>
        <v>13.349324281948988</v>
      </c>
      <c r="J196" s="12">
        <f t="shared" si="16"/>
        <v>295258.40542882879</v>
      </c>
    </row>
    <row r="197" spans="1:10">
      <c r="A197" s="3" t="s">
        <v>46</v>
      </c>
      <c r="B197" s="9" t="s">
        <v>76</v>
      </c>
      <c r="C197" s="8" t="s">
        <v>55</v>
      </c>
      <c r="D197" s="5" t="s">
        <v>49</v>
      </c>
      <c r="E197" s="13" t="s">
        <v>56</v>
      </c>
      <c r="F197" s="11">
        <v>0.19962773500634187</v>
      </c>
      <c r="G197" t="str">
        <f t="shared" si="13"/>
        <v>Autolackierungen</v>
      </c>
      <c r="H197" t="str">
        <f t="shared" si="14"/>
        <v>AL</v>
      </c>
      <c r="I197">
        <f t="shared" si="15"/>
        <v>13.349324281948988</v>
      </c>
      <c r="J197" s="12">
        <f t="shared" si="16"/>
        <v>70604.416839791898</v>
      </c>
    </row>
    <row r="198" spans="1:10">
      <c r="A198" s="3" t="s">
        <v>46</v>
      </c>
      <c r="B198" s="9" t="s">
        <v>76</v>
      </c>
      <c r="C198" s="8" t="s">
        <v>55</v>
      </c>
      <c r="D198" s="5" t="s">
        <v>49</v>
      </c>
      <c r="E198" s="13" t="s">
        <v>58</v>
      </c>
      <c r="F198" s="11">
        <v>0.5851205808355554</v>
      </c>
      <c r="G198" t="str">
        <f t="shared" si="13"/>
        <v>Autolackierungen</v>
      </c>
      <c r="H198" t="str">
        <f t="shared" si="14"/>
        <v>AL</v>
      </c>
      <c r="I198">
        <f t="shared" si="15"/>
        <v>13.349324281948988</v>
      </c>
      <c r="J198" s="12">
        <f t="shared" si="16"/>
        <v>176397.40603674835</v>
      </c>
    </row>
    <row r="199" spans="1:10">
      <c r="A199" s="3" t="s">
        <v>46</v>
      </c>
      <c r="B199" s="9" t="s">
        <v>76</v>
      </c>
      <c r="C199" s="8" t="s">
        <v>55</v>
      </c>
      <c r="D199" s="5" t="s">
        <v>49</v>
      </c>
      <c r="E199" s="13" t="s">
        <v>60</v>
      </c>
      <c r="F199" s="11">
        <v>0.20927380777256219</v>
      </c>
      <c r="G199" t="str">
        <f t="shared" si="13"/>
        <v>Autolackierungen</v>
      </c>
      <c r="H199" t="str">
        <f t="shared" si="14"/>
        <v>AL</v>
      </c>
      <c r="I199">
        <f t="shared" si="15"/>
        <v>13.349324281948988</v>
      </c>
      <c r="J199" s="12">
        <f t="shared" si="16"/>
        <v>70786.869019486927</v>
      </c>
    </row>
    <row r="200" spans="1:10">
      <c r="A200" s="3" t="s">
        <v>46</v>
      </c>
      <c r="B200" s="9" t="s">
        <v>76</v>
      </c>
      <c r="C200" s="8" t="s">
        <v>55</v>
      </c>
      <c r="D200" s="5" t="s">
        <v>49</v>
      </c>
      <c r="E200" s="13" t="s">
        <v>61</v>
      </c>
      <c r="F200" s="11">
        <v>0.17782200267133624</v>
      </c>
      <c r="G200" t="str">
        <f t="shared" si="13"/>
        <v>Autolackierungen</v>
      </c>
      <c r="H200" t="str">
        <f t="shared" si="14"/>
        <v>AL</v>
      </c>
      <c r="I200">
        <f t="shared" si="15"/>
        <v>13.349324281948988</v>
      </c>
      <c r="J200" s="12">
        <f t="shared" si="16"/>
        <v>52772.448617598988</v>
      </c>
    </row>
    <row r="201" spans="1:10">
      <c r="A201" s="3" t="s">
        <v>46</v>
      </c>
      <c r="B201" s="9" t="s">
        <v>76</v>
      </c>
      <c r="C201" s="8" t="s">
        <v>55</v>
      </c>
      <c r="D201" s="5" t="s">
        <v>49</v>
      </c>
      <c r="E201" s="13" t="s">
        <v>62</v>
      </c>
      <c r="F201" s="11">
        <v>0.23261939337476908</v>
      </c>
      <c r="G201" t="str">
        <f t="shared" si="13"/>
        <v>Autolackierungen</v>
      </c>
      <c r="H201" t="str">
        <f t="shared" si="14"/>
        <v>AL</v>
      </c>
      <c r="I201">
        <f t="shared" si="15"/>
        <v>13.349324281948988</v>
      </c>
      <c r="J201" s="12">
        <f t="shared" si="16"/>
        <v>62792.561168152781</v>
      </c>
    </row>
    <row r="202" spans="1:10">
      <c r="A202" s="3" t="s">
        <v>46</v>
      </c>
      <c r="B202" s="9" t="s">
        <v>76</v>
      </c>
      <c r="C202" s="8" t="s">
        <v>55</v>
      </c>
      <c r="D202" s="5" t="s">
        <v>49</v>
      </c>
      <c r="E202" s="13" t="s">
        <v>63</v>
      </c>
      <c r="F202" s="11">
        <v>0.19313964728012503</v>
      </c>
      <c r="G202" t="str">
        <f t="shared" si="13"/>
        <v>Autolackierungen</v>
      </c>
      <c r="H202" t="str">
        <f t="shared" si="14"/>
        <v>AL</v>
      </c>
      <c r="I202">
        <f t="shared" si="15"/>
        <v>13.349324281948988</v>
      </c>
      <c r="J202" s="12">
        <f t="shared" si="16"/>
        <v>46258.749717638966</v>
      </c>
    </row>
    <row r="203" spans="1:10">
      <c r="A203" s="3" t="s">
        <v>46</v>
      </c>
      <c r="B203" s="9" t="s">
        <v>76</v>
      </c>
      <c r="C203" s="8" t="s">
        <v>55</v>
      </c>
      <c r="D203" s="5" t="s">
        <v>49</v>
      </c>
      <c r="E203" s="13" t="s">
        <v>64</v>
      </c>
      <c r="F203" s="11">
        <v>0.15460914172582335</v>
      </c>
      <c r="G203" t="str">
        <f t="shared" si="13"/>
        <v>Autolackierungen</v>
      </c>
      <c r="H203" t="str">
        <f t="shared" si="14"/>
        <v>AL</v>
      </c>
      <c r="I203">
        <f t="shared" si="15"/>
        <v>13.349324281948988</v>
      </c>
      <c r="J203" s="12">
        <f t="shared" si="16"/>
        <v>33562.515781263224</v>
      </c>
    </row>
    <row r="204" spans="1:10">
      <c r="A204" s="3" t="s">
        <v>46</v>
      </c>
      <c r="B204" s="9" t="s">
        <v>76</v>
      </c>
      <c r="C204" s="8" t="s">
        <v>55</v>
      </c>
      <c r="D204" s="5" t="s">
        <v>49</v>
      </c>
      <c r="E204" s="13" t="s">
        <v>65</v>
      </c>
      <c r="F204" s="11">
        <v>9.765198002725857E-3</v>
      </c>
      <c r="G204" t="str">
        <f t="shared" si="13"/>
        <v>Autolackierungen</v>
      </c>
      <c r="H204" t="str">
        <f t="shared" si="14"/>
        <v>AL</v>
      </c>
      <c r="I204">
        <f t="shared" si="15"/>
        <v>13.349324281948988</v>
      </c>
      <c r="J204" s="12">
        <f t="shared" si="16"/>
        <v>2336.2921244857666</v>
      </c>
    </row>
    <row r="205" spans="1:10">
      <c r="A205" s="3" t="s">
        <v>46</v>
      </c>
      <c r="B205" s="9" t="s">
        <v>76</v>
      </c>
      <c r="C205" s="8" t="s">
        <v>55</v>
      </c>
      <c r="D205" s="5" t="s">
        <v>49</v>
      </c>
      <c r="E205" s="13" t="s">
        <v>66</v>
      </c>
      <c r="F205" s="11">
        <v>1.5850887618670356E-2</v>
      </c>
      <c r="G205" t="str">
        <f t="shared" si="13"/>
        <v>Autolackierungen</v>
      </c>
      <c r="H205" t="str">
        <f t="shared" si="14"/>
        <v>AL</v>
      </c>
      <c r="I205">
        <f t="shared" si="15"/>
        <v>13.349324281948988</v>
      </c>
      <c r="J205" s="12">
        <f t="shared" si="16"/>
        <v>3330.0082295369903</v>
      </c>
    </row>
    <row r="206" spans="1:10">
      <c r="A206" s="3" t="s">
        <v>46</v>
      </c>
      <c r="B206" s="9" t="s">
        <v>76</v>
      </c>
      <c r="C206" s="8" t="s">
        <v>55</v>
      </c>
      <c r="D206" s="5" t="s">
        <v>67</v>
      </c>
      <c r="E206" s="13" t="s">
        <v>50</v>
      </c>
      <c r="F206" s="11">
        <v>0.15342296412037593</v>
      </c>
      <c r="G206" t="str">
        <f t="shared" si="13"/>
        <v>Autolackierungen</v>
      </c>
      <c r="H206" t="str">
        <f t="shared" si="14"/>
        <v>AL</v>
      </c>
      <c r="I206">
        <f t="shared" si="15"/>
        <v>13.349324281948988</v>
      </c>
      <c r="J206" s="12">
        <f t="shared" si="16"/>
        <v>55010.933264436128</v>
      </c>
    </row>
    <row r="207" spans="1:10">
      <c r="A207" s="3" t="s">
        <v>46</v>
      </c>
      <c r="B207" s="9" t="s">
        <v>76</v>
      </c>
      <c r="C207" s="8" t="s">
        <v>55</v>
      </c>
      <c r="D207" s="5" t="s">
        <v>67</v>
      </c>
      <c r="E207" s="13" t="s">
        <v>52</v>
      </c>
      <c r="F207" s="11">
        <v>0.16905124886368378</v>
      </c>
      <c r="G207" t="str">
        <f t="shared" si="13"/>
        <v>Autolackierungen</v>
      </c>
      <c r="H207" t="str">
        <f t="shared" si="14"/>
        <v>AL</v>
      </c>
      <c r="I207">
        <f t="shared" si="15"/>
        <v>13.349324281948988</v>
      </c>
      <c r="J207" s="12">
        <f t="shared" si="16"/>
        <v>50047.571537336778</v>
      </c>
    </row>
    <row r="208" spans="1:10">
      <c r="A208" s="3" t="s">
        <v>46</v>
      </c>
      <c r="B208" s="9" t="s">
        <v>76</v>
      </c>
      <c r="C208" s="8" t="s">
        <v>55</v>
      </c>
      <c r="D208" s="5" t="s">
        <v>67</v>
      </c>
      <c r="E208" s="13" t="s">
        <v>54</v>
      </c>
      <c r="F208" s="11">
        <v>5.4819793163092441E-2</v>
      </c>
      <c r="G208" t="str">
        <f t="shared" si="13"/>
        <v>Autolackierungen</v>
      </c>
      <c r="H208" t="str">
        <f t="shared" si="14"/>
        <v>AL</v>
      </c>
      <c r="I208">
        <f t="shared" si="15"/>
        <v>13.349324281948988</v>
      </c>
      <c r="J208" s="12">
        <f t="shared" si="16"/>
        <v>21546.733637900579</v>
      </c>
    </row>
    <row r="209" spans="1:10">
      <c r="A209" s="3" t="s">
        <v>46</v>
      </c>
      <c r="B209" s="9" t="s">
        <v>76</v>
      </c>
      <c r="C209" s="8" t="s">
        <v>55</v>
      </c>
      <c r="D209" s="5" t="s">
        <v>67</v>
      </c>
      <c r="E209" s="13" t="s">
        <v>56</v>
      </c>
      <c r="F209" s="11">
        <v>0.18639794009593202</v>
      </c>
      <c r="G209" t="str">
        <f t="shared" si="13"/>
        <v>Autolackierungen</v>
      </c>
      <c r="H209" t="str">
        <f t="shared" si="14"/>
        <v>AL</v>
      </c>
      <c r="I209">
        <f t="shared" si="15"/>
        <v>13.349324281948988</v>
      </c>
      <c r="J209" s="12">
        <f t="shared" si="16"/>
        <v>65925.297705720368</v>
      </c>
    </row>
    <row r="210" spans="1:10">
      <c r="A210" s="3" t="s">
        <v>46</v>
      </c>
      <c r="B210" s="9" t="s">
        <v>76</v>
      </c>
      <c r="C210" s="8" t="s">
        <v>55</v>
      </c>
      <c r="D210" s="5" t="s">
        <v>67</v>
      </c>
      <c r="E210" s="13" t="s">
        <v>58</v>
      </c>
      <c r="F210" s="11">
        <v>8.263495290399045E-2</v>
      </c>
      <c r="G210" t="str">
        <f t="shared" si="13"/>
        <v>Autolackierungen</v>
      </c>
      <c r="H210" t="str">
        <f t="shared" si="14"/>
        <v>AL</v>
      </c>
      <c r="I210">
        <f t="shared" si="15"/>
        <v>13.349324281948988</v>
      </c>
      <c r="J210" s="12">
        <f t="shared" si="16"/>
        <v>24912.115241985386</v>
      </c>
    </row>
    <row r="211" spans="1:10">
      <c r="A211" s="3" t="s">
        <v>46</v>
      </c>
      <c r="B211" s="9" t="s">
        <v>76</v>
      </c>
      <c r="C211" s="8" t="s">
        <v>55</v>
      </c>
      <c r="D211" s="5" t="s">
        <v>67</v>
      </c>
      <c r="E211" s="13" t="s">
        <v>60</v>
      </c>
      <c r="F211" s="11">
        <v>1.6788372435577653E-2</v>
      </c>
      <c r="G211" t="str">
        <f t="shared" si="13"/>
        <v>Autolackierungen</v>
      </c>
      <c r="H211" t="str">
        <f t="shared" si="14"/>
        <v>AL</v>
      </c>
      <c r="I211">
        <f t="shared" si="15"/>
        <v>13.349324281948988</v>
      </c>
      <c r="J211" s="12">
        <f t="shared" si="16"/>
        <v>5678.6672603536881</v>
      </c>
    </row>
    <row r="212" spans="1:10">
      <c r="A212" s="3" t="s">
        <v>46</v>
      </c>
      <c r="B212" s="9" t="s">
        <v>76</v>
      </c>
      <c r="C212" s="8" t="s">
        <v>55</v>
      </c>
      <c r="D212" s="5" t="s">
        <v>67</v>
      </c>
      <c r="E212" s="13" t="s">
        <v>61</v>
      </c>
      <c r="F212" s="11">
        <v>0.17321876648288162</v>
      </c>
      <c r="G212" t="str">
        <f t="shared" si="13"/>
        <v>Autolackierungen</v>
      </c>
      <c r="H212" t="str">
        <f t="shared" si="14"/>
        <v>AL</v>
      </c>
      <c r="I212">
        <f t="shared" si="15"/>
        <v>13.349324281948988</v>
      </c>
      <c r="J212" s="12">
        <f t="shared" si="16"/>
        <v>51406.340703052083</v>
      </c>
    </row>
    <row r="213" spans="1:10">
      <c r="A213" s="3" t="s">
        <v>46</v>
      </c>
      <c r="B213" s="9" t="s">
        <v>76</v>
      </c>
      <c r="C213" s="8" t="s">
        <v>55</v>
      </c>
      <c r="D213" s="5" t="s">
        <v>67</v>
      </c>
      <c r="E213" s="13" t="s">
        <v>62</v>
      </c>
      <c r="F213" s="11">
        <v>1.6578441765891714E-2</v>
      </c>
      <c r="G213" t="str">
        <f t="shared" si="13"/>
        <v>Autolackierungen</v>
      </c>
      <c r="H213" t="str">
        <f t="shared" si="14"/>
        <v>AL</v>
      </c>
      <c r="I213">
        <f t="shared" si="15"/>
        <v>13.349324281948988</v>
      </c>
      <c r="J213" s="12">
        <f t="shared" si="16"/>
        <v>4475.1334080743327</v>
      </c>
    </row>
    <row r="214" spans="1:10">
      <c r="A214" s="3" t="s">
        <v>46</v>
      </c>
      <c r="B214" s="9" t="s">
        <v>76</v>
      </c>
      <c r="C214" s="8" t="s">
        <v>55</v>
      </c>
      <c r="D214" s="5" t="s">
        <v>67</v>
      </c>
      <c r="E214" s="13" t="s">
        <v>63</v>
      </c>
      <c r="F214" s="11">
        <v>0.11947557407614209</v>
      </c>
      <c r="G214" t="str">
        <f t="shared" ref="G214:G277" si="17">_xlfn.XLOOKUP(C214,$V$2:$V$7,$T$2:$T$7)</f>
        <v>Autolackierungen</v>
      </c>
      <c r="H214" t="str">
        <f t="shared" ref="H214:H277" si="18">_xlfn.XLOOKUP(C214,$V$2:$V$7,$S$2:$S$7)</f>
        <v>AL</v>
      </c>
      <c r="I214">
        <f t="shared" ref="I214:I277" si="19">_xlfn.XLOOKUP(C214,$V$2:$V$7,$U$2:$U$7)</f>
        <v>13.349324281948988</v>
      </c>
      <c r="J214" s="12">
        <f t="shared" si="16"/>
        <v>28615.51605996033</v>
      </c>
    </row>
    <row r="215" spans="1:10">
      <c r="A215" s="3" t="s">
        <v>46</v>
      </c>
      <c r="B215" s="9" t="s">
        <v>76</v>
      </c>
      <c r="C215" s="8" t="s">
        <v>55</v>
      </c>
      <c r="D215" s="5" t="s">
        <v>67</v>
      </c>
      <c r="E215" s="13" t="s">
        <v>64</v>
      </c>
      <c r="F215" s="11">
        <v>0.17803728042991249</v>
      </c>
      <c r="G215" t="str">
        <f t="shared" si="17"/>
        <v>Autolackierungen</v>
      </c>
      <c r="H215" t="str">
        <f t="shared" si="18"/>
        <v>AL</v>
      </c>
      <c r="I215">
        <f t="shared" si="19"/>
        <v>13.349324281948988</v>
      </c>
      <c r="J215" s="12">
        <f t="shared" si="16"/>
        <v>38648.290569250959</v>
      </c>
    </row>
    <row r="216" spans="1:10">
      <c r="A216" s="3" t="s">
        <v>46</v>
      </c>
      <c r="B216" s="9" t="s">
        <v>76</v>
      </c>
      <c r="C216" s="8" t="s">
        <v>55</v>
      </c>
      <c r="D216" s="5" t="s">
        <v>67</v>
      </c>
      <c r="E216" s="13" t="s">
        <v>65</v>
      </c>
      <c r="F216" s="11">
        <v>1.607463648756852E-2</v>
      </c>
      <c r="G216" t="str">
        <f t="shared" si="17"/>
        <v>Autolackierungen</v>
      </c>
      <c r="H216" t="str">
        <f t="shared" si="18"/>
        <v>AL</v>
      </c>
      <c r="I216">
        <f t="shared" si="19"/>
        <v>13.349324281948988</v>
      </c>
      <c r="J216" s="12">
        <f t="shared" si="16"/>
        <v>3845.8049308774653</v>
      </c>
    </row>
    <row r="217" spans="1:10">
      <c r="A217" s="3" t="s">
        <v>46</v>
      </c>
      <c r="B217" s="9" t="s">
        <v>76</v>
      </c>
      <c r="C217" s="8" t="s">
        <v>55</v>
      </c>
      <c r="D217" s="5" t="s">
        <v>67</v>
      </c>
      <c r="E217" s="13" t="s">
        <v>66</v>
      </c>
      <c r="F217" s="11">
        <v>0.22473977211739268</v>
      </c>
      <c r="G217" t="str">
        <f t="shared" si="17"/>
        <v>Autolackierungen</v>
      </c>
      <c r="H217" t="str">
        <f t="shared" si="18"/>
        <v>AL</v>
      </c>
      <c r="I217">
        <f t="shared" si="19"/>
        <v>13.349324281948988</v>
      </c>
      <c r="J217" s="12">
        <f t="shared" si="16"/>
        <v>47214.093535915395</v>
      </c>
    </row>
    <row r="218" spans="1:10">
      <c r="A218" s="3" t="s">
        <v>46</v>
      </c>
      <c r="B218" s="9" t="s">
        <v>76</v>
      </c>
      <c r="C218" s="8" t="s">
        <v>55</v>
      </c>
      <c r="D218" s="5" t="s">
        <v>71</v>
      </c>
      <c r="E218" s="13" t="s">
        <v>50</v>
      </c>
      <c r="F218" s="11">
        <v>0.5822008141693138</v>
      </c>
      <c r="G218" t="str">
        <f t="shared" si="17"/>
        <v>Autolackierungen</v>
      </c>
      <c r="H218" t="str">
        <f t="shared" si="18"/>
        <v>AL</v>
      </c>
      <c r="I218">
        <f t="shared" si="19"/>
        <v>13.349324281948988</v>
      </c>
      <c r="J218" s="12">
        <f t="shared" si="16"/>
        <v>208752.38800392189</v>
      </c>
    </row>
    <row r="219" spans="1:10">
      <c r="A219" s="3" t="s">
        <v>46</v>
      </c>
      <c r="B219" s="9" t="s">
        <v>76</v>
      </c>
      <c r="C219" s="8" t="s">
        <v>55</v>
      </c>
      <c r="D219" s="5" t="s">
        <v>71</v>
      </c>
      <c r="E219" s="13" t="s">
        <v>52</v>
      </c>
      <c r="F219" s="11">
        <v>0.70558360215245741</v>
      </c>
      <c r="G219" t="str">
        <f t="shared" si="17"/>
        <v>Autolackierungen</v>
      </c>
      <c r="H219" t="str">
        <f t="shared" si="18"/>
        <v>AL</v>
      </c>
      <c r="I219">
        <f t="shared" si="19"/>
        <v>13.349324281948988</v>
      </c>
      <c r="J219" s="12">
        <f t="shared" si="16"/>
        <v>208887.8138532516</v>
      </c>
    </row>
    <row r="220" spans="1:10">
      <c r="A220" s="3" t="s">
        <v>46</v>
      </c>
      <c r="B220" s="9" t="s">
        <v>76</v>
      </c>
      <c r="C220" s="8" t="s">
        <v>55</v>
      </c>
      <c r="D220" s="5" t="s">
        <v>71</v>
      </c>
      <c r="E220" s="13" t="s">
        <v>54</v>
      </c>
      <c r="F220" s="11">
        <v>0.18608500973253464</v>
      </c>
      <c r="G220" t="str">
        <f t="shared" si="17"/>
        <v>Autolackierungen</v>
      </c>
      <c r="H220" t="str">
        <f t="shared" si="18"/>
        <v>AL</v>
      </c>
      <c r="I220">
        <f t="shared" si="19"/>
        <v>13.349324281948988</v>
      </c>
      <c r="J220" s="12">
        <f t="shared" si="16"/>
        <v>73140.081480870707</v>
      </c>
    </row>
    <row r="221" spans="1:10">
      <c r="A221" s="3" t="s">
        <v>46</v>
      </c>
      <c r="B221" s="9" t="s">
        <v>76</v>
      </c>
      <c r="C221" s="8" t="s">
        <v>55</v>
      </c>
      <c r="D221" s="5" t="s">
        <v>71</v>
      </c>
      <c r="E221" s="13" t="s">
        <v>56</v>
      </c>
      <c r="F221" s="11">
        <v>0.61320961055861078</v>
      </c>
      <c r="G221" t="str">
        <f t="shared" si="17"/>
        <v>Autolackierungen</v>
      </c>
      <c r="H221" t="str">
        <f t="shared" si="18"/>
        <v>AL</v>
      </c>
      <c r="I221">
        <f t="shared" si="19"/>
        <v>13.349324281948988</v>
      </c>
      <c r="J221" s="12">
        <f t="shared" si="16"/>
        <v>216880.21933761449</v>
      </c>
    </row>
    <row r="222" spans="1:10">
      <c r="A222" s="3" t="s">
        <v>46</v>
      </c>
      <c r="B222" s="9" t="s">
        <v>76</v>
      </c>
      <c r="C222" s="8" t="s">
        <v>55</v>
      </c>
      <c r="D222" s="5" t="s">
        <v>71</v>
      </c>
      <c r="E222" s="13" t="s">
        <v>58</v>
      </c>
      <c r="F222" s="11">
        <v>0.28454745808538245</v>
      </c>
      <c r="G222" t="str">
        <f t="shared" si="17"/>
        <v>Autolackierungen</v>
      </c>
      <c r="H222" t="str">
        <f t="shared" si="18"/>
        <v>AL</v>
      </c>
      <c r="I222">
        <f t="shared" si="19"/>
        <v>13.349324281948988</v>
      </c>
      <c r="J222" s="12">
        <f t="shared" si="16"/>
        <v>85783.05932930157</v>
      </c>
    </row>
    <row r="223" spans="1:10">
      <c r="A223" s="3" t="s">
        <v>46</v>
      </c>
      <c r="B223" s="9" t="s">
        <v>76</v>
      </c>
      <c r="C223" s="8" t="s">
        <v>55</v>
      </c>
      <c r="D223" s="5" t="s">
        <v>71</v>
      </c>
      <c r="E223" s="13" t="s">
        <v>60</v>
      </c>
      <c r="F223" s="11">
        <v>0.75809778532358751</v>
      </c>
      <c r="G223" t="str">
        <f t="shared" si="17"/>
        <v>Autolackierungen</v>
      </c>
      <c r="H223" t="str">
        <f t="shared" si="18"/>
        <v>AL</v>
      </c>
      <c r="I223">
        <f t="shared" si="19"/>
        <v>13.349324281948988</v>
      </c>
      <c r="J223" s="12">
        <f t="shared" si="16"/>
        <v>256426.58871092464</v>
      </c>
    </row>
    <row r="224" spans="1:10">
      <c r="A224" s="3" t="s">
        <v>46</v>
      </c>
      <c r="B224" s="9" t="s">
        <v>76</v>
      </c>
      <c r="C224" s="8" t="s">
        <v>55</v>
      </c>
      <c r="D224" s="5" t="s">
        <v>71</v>
      </c>
      <c r="E224" s="13" t="s">
        <v>61</v>
      </c>
      <c r="F224" s="11">
        <v>0.63210441974078135</v>
      </c>
      <c r="G224" t="str">
        <f t="shared" si="17"/>
        <v>Autolackierungen</v>
      </c>
      <c r="H224" t="str">
        <f t="shared" si="18"/>
        <v>AL</v>
      </c>
      <c r="I224">
        <f t="shared" si="19"/>
        <v>13.349324281948988</v>
      </c>
      <c r="J224" s="12">
        <f t="shared" si="16"/>
        <v>187590.38538881921</v>
      </c>
    </row>
    <row r="225" spans="1:10">
      <c r="A225" s="3" t="s">
        <v>46</v>
      </c>
      <c r="B225" s="9" t="s">
        <v>76</v>
      </c>
      <c r="C225" s="8" t="s">
        <v>55</v>
      </c>
      <c r="D225" s="5" t="s">
        <v>71</v>
      </c>
      <c r="E225" s="13" t="s">
        <v>62</v>
      </c>
      <c r="F225" s="11">
        <v>0.75010744038248944</v>
      </c>
      <c r="G225" t="str">
        <f t="shared" si="17"/>
        <v>Autolackierungen</v>
      </c>
      <c r="H225" t="str">
        <f t="shared" si="18"/>
        <v>AL</v>
      </c>
      <c r="I225">
        <f t="shared" si="19"/>
        <v>13.349324281948988</v>
      </c>
      <c r="J225" s="12">
        <f t="shared" si="16"/>
        <v>202481.6875737446</v>
      </c>
    </row>
    <row r="226" spans="1:10">
      <c r="A226" s="3" t="s">
        <v>46</v>
      </c>
      <c r="B226" s="9" t="s">
        <v>76</v>
      </c>
      <c r="C226" s="8" t="s">
        <v>55</v>
      </c>
      <c r="D226" s="5" t="s">
        <v>71</v>
      </c>
      <c r="E226" s="13" t="s">
        <v>63</v>
      </c>
      <c r="F226" s="11">
        <v>0.67420177776018975</v>
      </c>
      <c r="G226" t="str">
        <f t="shared" si="17"/>
        <v>Autolackierungen</v>
      </c>
      <c r="H226" t="str">
        <f t="shared" si="18"/>
        <v>AL</v>
      </c>
      <c r="I226">
        <f t="shared" si="19"/>
        <v>13.349324281948988</v>
      </c>
      <c r="J226" s="12">
        <f t="shared" si="16"/>
        <v>161477.62375977598</v>
      </c>
    </row>
    <row r="227" spans="1:10">
      <c r="A227" s="3" t="s">
        <v>46</v>
      </c>
      <c r="B227" s="9" t="s">
        <v>76</v>
      </c>
      <c r="C227" s="8" t="s">
        <v>55</v>
      </c>
      <c r="D227" s="5" t="s">
        <v>71</v>
      </c>
      <c r="E227" s="13" t="s">
        <v>64</v>
      </c>
      <c r="F227" s="11">
        <v>0.66597593555427159</v>
      </c>
      <c r="G227" t="str">
        <f t="shared" si="17"/>
        <v>Autolackierungen</v>
      </c>
      <c r="H227" t="str">
        <f t="shared" si="18"/>
        <v>AL</v>
      </c>
      <c r="I227">
        <f t="shared" si="19"/>
        <v>13.349324281948988</v>
      </c>
      <c r="J227" s="12">
        <f t="shared" si="16"/>
        <v>144569.8979858479</v>
      </c>
    </row>
    <row r="228" spans="1:10">
      <c r="A228" s="3" t="s">
        <v>46</v>
      </c>
      <c r="B228" s="9" t="s">
        <v>76</v>
      </c>
      <c r="C228" s="8" t="s">
        <v>55</v>
      </c>
      <c r="D228" s="5" t="s">
        <v>71</v>
      </c>
      <c r="E228" s="13" t="s">
        <v>65</v>
      </c>
      <c r="F228" s="11">
        <v>0.97278883236768843</v>
      </c>
      <c r="G228" t="str">
        <f t="shared" si="17"/>
        <v>Autolackierungen</v>
      </c>
      <c r="H228" t="str">
        <f t="shared" si="18"/>
        <v>AL</v>
      </c>
      <c r="I228">
        <f t="shared" si="19"/>
        <v>13.349324281948988</v>
      </c>
      <c r="J228" s="12">
        <f t="shared" si="16"/>
        <v>232736.59041157467</v>
      </c>
    </row>
    <row r="229" spans="1:10">
      <c r="A229" s="3" t="s">
        <v>46</v>
      </c>
      <c r="B229" s="9" t="s">
        <v>76</v>
      </c>
      <c r="C229" s="8" t="s">
        <v>55</v>
      </c>
      <c r="D229" s="5" t="s">
        <v>71</v>
      </c>
      <c r="E229" s="13" t="s">
        <v>66</v>
      </c>
      <c r="F229" s="11">
        <v>0.7097081776069829</v>
      </c>
      <c r="G229" t="str">
        <f t="shared" si="17"/>
        <v>Autolackierungen</v>
      </c>
      <c r="H229" t="str">
        <f t="shared" si="18"/>
        <v>AL</v>
      </c>
      <c r="I229">
        <f t="shared" si="19"/>
        <v>13.349324281948988</v>
      </c>
      <c r="J229" s="12">
        <f t="shared" si="16"/>
        <v>149097.90094134805</v>
      </c>
    </row>
    <row r="230" spans="1:10">
      <c r="A230" s="3" t="s">
        <v>46</v>
      </c>
      <c r="B230" s="9" t="s">
        <v>76</v>
      </c>
      <c r="C230" s="8" t="s">
        <v>55</v>
      </c>
      <c r="D230" s="5" t="s">
        <v>72</v>
      </c>
      <c r="E230" s="13" t="s">
        <v>50</v>
      </c>
      <c r="F230" s="11">
        <v>0.13592941164769648</v>
      </c>
      <c r="G230" t="str">
        <f t="shared" si="17"/>
        <v>Autolackierungen</v>
      </c>
      <c r="H230" t="str">
        <f t="shared" si="18"/>
        <v>AL</v>
      </c>
      <c r="I230">
        <f t="shared" si="19"/>
        <v>13.349324281948988</v>
      </c>
      <c r="J230" s="12">
        <f t="shared" si="16"/>
        <v>48738.491240193725</v>
      </c>
    </row>
    <row r="231" spans="1:10">
      <c r="A231" s="3" t="s">
        <v>46</v>
      </c>
      <c r="B231" s="9" t="s">
        <v>76</v>
      </c>
      <c r="C231" s="8" t="s">
        <v>55</v>
      </c>
      <c r="D231" s="5" t="s">
        <v>72</v>
      </c>
      <c r="E231" s="13" t="s">
        <v>52</v>
      </c>
      <c r="F231" s="11">
        <v>7.5906499894824232E-4</v>
      </c>
      <c r="G231" t="str">
        <f t="shared" si="17"/>
        <v>Autolackierungen</v>
      </c>
      <c r="H231" t="str">
        <f t="shared" si="18"/>
        <v>AL</v>
      </c>
      <c r="I231">
        <f t="shared" si="19"/>
        <v>13.349324281948988</v>
      </c>
      <c r="J231" s="12">
        <f t="shared" si="16"/>
        <v>224.72096533864558</v>
      </c>
    </row>
    <row r="232" spans="1:10">
      <c r="A232" s="3" t="s">
        <v>46</v>
      </c>
      <c r="B232" s="9" t="s">
        <v>76</v>
      </c>
      <c r="C232" s="8" t="s">
        <v>55</v>
      </c>
      <c r="D232" s="5" t="s">
        <v>72</v>
      </c>
      <c r="E232" s="13" t="s">
        <v>54</v>
      </c>
      <c r="F232" s="11">
        <v>7.8906299860513583E-3</v>
      </c>
      <c r="G232" t="str">
        <f t="shared" si="17"/>
        <v>Autolackierungen</v>
      </c>
      <c r="H232" t="str">
        <f t="shared" si="18"/>
        <v>AL</v>
      </c>
      <c r="I232">
        <f t="shared" si="19"/>
        <v>13.349324281948988</v>
      </c>
      <c r="J232" s="12">
        <f t="shared" si="16"/>
        <v>3101.3853342873304</v>
      </c>
    </row>
    <row r="233" spans="1:10">
      <c r="A233" s="3" t="s">
        <v>46</v>
      </c>
      <c r="B233" s="9" t="s">
        <v>76</v>
      </c>
      <c r="C233" s="8" t="s">
        <v>55</v>
      </c>
      <c r="D233" s="5" t="s">
        <v>72</v>
      </c>
      <c r="E233" s="13" t="s">
        <v>56</v>
      </c>
      <c r="F233" s="11">
        <v>7.6471433911530127E-4</v>
      </c>
      <c r="G233" t="str">
        <f t="shared" si="17"/>
        <v>Autolackierungen</v>
      </c>
      <c r="H233" t="str">
        <f t="shared" si="18"/>
        <v>AL</v>
      </c>
      <c r="I233">
        <f t="shared" si="19"/>
        <v>13.349324281948988</v>
      </c>
      <c r="J233" s="12">
        <f t="shared" si="16"/>
        <v>270.46447208624318</v>
      </c>
    </row>
    <row r="234" spans="1:10">
      <c r="A234" s="3" t="s">
        <v>46</v>
      </c>
      <c r="B234" s="9" t="s">
        <v>76</v>
      </c>
      <c r="C234" s="8" t="s">
        <v>55</v>
      </c>
      <c r="D234" s="5" t="s">
        <v>72</v>
      </c>
      <c r="E234" s="13" t="s">
        <v>58</v>
      </c>
      <c r="F234" s="11">
        <v>4.7697008175071637E-2</v>
      </c>
      <c r="G234" t="str">
        <f t="shared" si="17"/>
        <v>Autolackierungen</v>
      </c>
      <c r="H234" t="str">
        <f t="shared" si="18"/>
        <v>AL</v>
      </c>
      <c r="I234">
        <f t="shared" si="19"/>
        <v>13.349324281948988</v>
      </c>
      <c r="J234" s="12">
        <f t="shared" si="16"/>
        <v>14379.307092192024</v>
      </c>
    </row>
    <row r="235" spans="1:10">
      <c r="A235" s="3" t="s">
        <v>46</v>
      </c>
      <c r="B235" s="9" t="s">
        <v>76</v>
      </c>
      <c r="C235" s="8" t="s">
        <v>55</v>
      </c>
      <c r="D235" s="5" t="s">
        <v>72</v>
      </c>
      <c r="E235" s="13" t="s">
        <v>60</v>
      </c>
      <c r="F235" s="11">
        <v>1.5840034468272632E-2</v>
      </c>
      <c r="G235" t="str">
        <f t="shared" si="17"/>
        <v>Autolackierungen</v>
      </c>
      <c r="H235" t="str">
        <f t="shared" si="18"/>
        <v>AL</v>
      </c>
      <c r="I235">
        <f t="shared" si="19"/>
        <v>13.349324281948988</v>
      </c>
      <c r="J235" s="12">
        <f t="shared" si="16"/>
        <v>5357.8919268691297</v>
      </c>
    </row>
    <row r="236" spans="1:10">
      <c r="A236" s="3" t="s">
        <v>46</v>
      </c>
      <c r="B236" s="9" t="s">
        <v>76</v>
      </c>
      <c r="C236" s="8" t="s">
        <v>55</v>
      </c>
      <c r="D236" s="5" t="s">
        <v>72</v>
      </c>
      <c r="E236" s="13" t="s">
        <v>61</v>
      </c>
      <c r="F236" s="11">
        <v>1.68548111050007E-2</v>
      </c>
      <c r="G236" t="str">
        <f t="shared" si="17"/>
        <v>Autolackierungen</v>
      </c>
      <c r="H236" t="str">
        <f t="shared" si="18"/>
        <v>AL</v>
      </c>
      <c r="I236">
        <f t="shared" si="19"/>
        <v>13.349324281948988</v>
      </c>
      <c r="J236" s="12">
        <f t="shared" si="16"/>
        <v>5002.0224698625725</v>
      </c>
    </row>
    <row r="237" spans="1:10">
      <c r="A237" s="3" t="s">
        <v>46</v>
      </c>
      <c r="B237" s="9" t="s">
        <v>76</v>
      </c>
      <c r="C237" s="8" t="s">
        <v>55</v>
      </c>
      <c r="D237" s="5" t="s">
        <v>72</v>
      </c>
      <c r="E237" s="13" t="s">
        <v>62</v>
      </c>
      <c r="F237" s="11">
        <v>6.9472447684977166E-4</v>
      </c>
      <c r="G237" t="str">
        <f t="shared" si="17"/>
        <v>Autolackierungen</v>
      </c>
      <c r="H237" t="str">
        <f t="shared" si="18"/>
        <v>AL</v>
      </c>
      <c r="I237">
        <f t="shared" si="19"/>
        <v>13.349324281948988</v>
      </c>
      <c r="J237" s="12">
        <f t="shared" si="16"/>
        <v>187.53178131335386</v>
      </c>
    </row>
    <row r="238" spans="1:10">
      <c r="A238" s="3" t="s">
        <v>46</v>
      </c>
      <c r="B238" s="9" t="s">
        <v>76</v>
      </c>
      <c r="C238" s="8" t="s">
        <v>55</v>
      </c>
      <c r="D238" s="5" t="s">
        <v>72</v>
      </c>
      <c r="E238" s="13" t="s">
        <v>63</v>
      </c>
      <c r="F238" s="11">
        <v>1.3183000883543109E-2</v>
      </c>
      <c r="G238" t="str">
        <f t="shared" si="17"/>
        <v>Autolackierungen</v>
      </c>
      <c r="H238" t="str">
        <f t="shared" si="18"/>
        <v>AL</v>
      </c>
      <c r="I238">
        <f t="shared" si="19"/>
        <v>13.349324281948988</v>
      </c>
      <c r="J238" s="12">
        <f t="shared" si="16"/>
        <v>3157.4518592485197</v>
      </c>
    </row>
    <row r="239" spans="1:10">
      <c r="A239" s="3" t="s">
        <v>46</v>
      </c>
      <c r="B239" s="9" t="s">
        <v>76</v>
      </c>
      <c r="C239" s="8" t="s">
        <v>55</v>
      </c>
      <c r="D239" s="5" t="s">
        <v>72</v>
      </c>
      <c r="E239" s="13" t="s">
        <v>64</v>
      </c>
      <c r="F239" s="11">
        <v>1.3776422899926405E-3</v>
      </c>
      <c r="G239" t="str">
        <f t="shared" si="17"/>
        <v>Autolackierungen</v>
      </c>
      <c r="H239" t="str">
        <f t="shared" si="18"/>
        <v>AL</v>
      </c>
      <c r="I239">
        <f t="shared" si="19"/>
        <v>13.349324281948988</v>
      </c>
      <c r="J239" s="12">
        <f t="shared" si="16"/>
        <v>299.05826125604136</v>
      </c>
    </row>
    <row r="240" spans="1:10">
      <c r="A240" s="3" t="s">
        <v>46</v>
      </c>
      <c r="B240" s="9" t="s">
        <v>76</v>
      </c>
      <c r="C240" s="8" t="s">
        <v>55</v>
      </c>
      <c r="D240" s="5" t="s">
        <v>72</v>
      </c>
      <c r="E240" s="13" t="s">
        <v>65</v>
      </c>
      <c r="F240" s="11">
        <v>1.3713331420171391E-3</v>
      </c>
      <c r="G240" t="str">
        <f t="shared" si="17"/>
        <v>Autolackierungen</v>
      </c>
      <c r="H240" t="str">
        <f t="shared" si="18"/>
        <v>AL</v>
      </c>
      <c r="I240">
        <f t="shared" si="19"/>
        <v>13.349324281948988</v>
      </c>
      <c r="J240" s="12">
        <f t="shared" si="16"/>
        <v>328.08703098970904</v>
      </c>
    </row>
    <row r="241" spans="1:10">
      <c r="A241" s="3" t="s">
        <v>46</v>
      </c>
      <c r="B241" s="9" t="s">
        <v>76</v>
      </c>
      <c r="C241" s="8" t="s">
        <v>55</v>
      </c>
      <c r="D241" s="5" t="s">
        <v>72</v>
      </c>
      <c r="E241" s="13" t="s">
        <v>66</v>
      </c>
      <c r="F241" s="11">
        <v>4.9701162656954144E-2</v>
      </c>
      <c r="G241" t="str">
        <f t="shared" si="17"/>
        <v>Autolackierungen</v>
      </c>
      <c r="H241" t="str">
        <f t="shared" si="18"/>
        <v>AL</v>
      </c>
      <c r="I241">
        <f t="shared" si="19"/>
        <v>13.349324281948988</v>
      </c>
      <c r="J241" s="12">
        <f t="shared" si="16"/>
        <v>10441.388813473728</v>
      </c>
    </row>
    <row r="242" spans="1:10">
      <c r="A242" s="3" t="s">
        <v>46</v>
      </c>
      <c r="B242" s="9" t="s">
        <v>77</v>
      </c>
      <c r="C242" s="8" t="s">
        <v>51</v>
      </c>
      <c r="D242" s="5" t="s">
        <v>49</v>
      </c>
      <c r="E242" s="13" t="s">
        <v>50</v>
      </c>
      <c r="F242" s="11">
        <v>0.72938512980391301</v>
      </c>
      <c r="G242" t="str">
        <f t="shared" si="17"/>
        <v>Wandfarbe</v>
      </c>
      <c r="H242" t="str">
        <f t="shared" si="18"/>
        <v>WF</v>
      </c>
      <c r="I242">
        <f t="shared" si="19"/>
        <v>6.6935171617547757</v>
      </c>
      <c r="J242" s="12">
        <f t="shared" si="16"/>
        <v>135886.56819139904</v>
      </c>
    </row>
    <row r="243" spans="1:10">
      <c r="A243" s="3" t="s">
        <v>46</v>
      </c>
      <c r="B243" s="9" t="s">
        <v>77</v>
      </c>
      <c r="C243" s="8" t="s">
        <v>51</v>
      </c>
      <c r="D243" s="5" t="s">
        <v>49</v>
      </c>
      <c r="E243" s="13" t="s">
        <v>52</v>
      </c>
      <c r="F243" s="11">
        <v>6.291879247978456E-2</v>
      </c>
      <c r="G243" t="str">
        <f t="shared" si="17"/>
        <v>Wandfarbe</v>
      </c>
      <c r="H243" t="str">
        <f t="shared" si="18"/>
        <v>WF</v>
      </c>
      <c r="I243">
        <f t="shared" si="19"/>
        <v>6.6935171617547757</v>
      </c>
      <c r="J243" s="12">
        <f t="shared" si="16"/>
        <v>10936.78140724717</v>
      </c>
    </row>
    <row r="244" spans="1:10">
      <c r="A244" s="3" t="s">
        <v>46</v>
      </c>
      <c r="B244" s="9" t="s">
        <v>77</v>
      </c>
      <c r="C244" s="8" t="s">
        <v>51</v>
      </c>
      <c r="D244" s="5" t="s">
        <v>49</v>
      </c>
      <c r="E244" s="13" t="s">
        <v>54</v>
      </c>
      <c r="F244" s="11">
        <v>0.19761215579169028</v>
      </c>
      <c r="G244" t="str">
        <f t="shared" si="17"/>
        <v>Wandfarbe</v>
      </c>
      <c r="H244" t="str">
        <f t="shared" si="18"/>
        <v>WF</v>
      </c>
      <c r="I244">
        <f t="shared" si="19"/>
        <v>6.6935171617547757</v>
      </c>
      <c r="J244" s="12">
        <f t="shared" si="16"/>
        <v>52713.093848199453</v>
      </c>
    </row>
    <row r="245" spans="1:10">
      <c r="A245" s="3" t="s">
        <v>46</v>
      </c>
      <c r="B245" s="9" t="s">
        <v>77</v>
      </c>
      <c r="C245" s="8" t="s">
        <v>51</v>
      </c>
      <c r="D245" s="5" t="s">
        <v>49</v>
      </c>
      <c r="E245" s="13" t="s">
        <v>56</v>
      </c>
      <c r="F245" s="11">
        <v>1.4282135614365605E-2</v>
      </c>
      <c r="G245" t="str">
        <f t="shared" si="17"/>
        <v>Wandfarbe</v>
      </c>
      <c r="H245" t="str">
        <f t="shared" si="18"/>
        <v>WF</v>
      </c>
      <c r="I245">
        <f t="shared" si="19"/>
        <v>6.6935171617547757</v>
      </c>
      <c r="J245" s="12">
        <f t="shared" si="16"/>
        <v>3084.0823829982392</v>
      </c>
    </row>
    <row r="246" spans="1:10">
      <c r="A246" s="3" t="s">
        <v>46</v>
      </c>
      <c r="B246" s="9" t="s">
        <v>77</v>
      </c>
      <c r="C246" s="8" t="s">
        <v>51</v>
      </c>
      <c r="D246" s="5" t="s">
        <v>49</v>
      </c>
      <c r="E246" s="13" t="s">
        <v>58</v>
      </c>
      <c r="F246" s="11">
        <v>0.49446134901006111</v>
      </c>
      <c r="G246" t="str">
        <f t="shared" si="17"/>
        <v>Wandfarbe</v>
      </c>
      <c r="H246" t="str">
        <f t="shared" si="18"/>
        <v>WF</v>
      </c>
      <c r="I246">
        <f t="shared" si="19"/>
        <v>6.6935171617547757</v>
      </c>
      <c r="J246" s="12">
        <f t="shared" si="16"/>
        <v>164018.30709929846</v>
      </c>
    </row>
    <row r="247" spans="1:10">
      <c r="A247" s="3" t="s">
        <v>46</v>
      </c>
      <c r="B247" s="9" t="s">
        <v>77</v>
      </c>
      <c r="C247" s="8" t="s">
        <v>51</v>
      </c>
      <c r="D247" s="5" t="s">
        <v>49</v>
      </c>
      <c r="E247" s="13" t="s">
        <v>60</v>
      </c>
      <c r="F247" s="11">
        <v>6.1370359001694441E-3</v>
      </c>
      <c r="G247" t="str">
        <f t="shared" si="17"/>
        <v>Wandfarbe</v>
      </c>
      <c r="H247" t="str">
        <f t="shared" si="18"/>
        <v>WF</v>
      </c>
      <c r="I247">
        <f t="shared" si="19"/>
        <v>6.6935171617547757</v>
      </c>
      <c r="J247" s="12">
        <f t="shared" si="16"/>
        <v>1676.0583867633047</v>
      </c>
    </row>
    <row r="248" spans="1:10">
      <c r="A248" s="3" t="s">
        <v>46</v>
      </c>
      <c r="B248" s="9" t="s">
        <v>77</v>
      </c>
      <c r="C248" s="8" t="s">
        <v>51</v>
      </c>
      <c r="D248" s="5" t="s">
        <v>49</v>
      </c>
      <c r="E248" s="13" t="s">
        <v>61</v>
      </c>
      <c r="F248" s="11">
        <v>0.19627650647313274</v>
      </c>
      <c r="G248" t="str">
        <f t="shared" si="17"/>
        <v>Wandfarbe</v>
      </c>
      <c r="H248" t="str">
        <f t="shared" si="18"/>
        <v>WF</v>
      </c>
      <c r="I248">
        <f t="shared" si="19"/>
        <v>6.6935171617547757</v>
      </c>
      <c r="J248" s="12">
        <f t="shared" si="16"/>
        <v>53370.589515417567</v>
      </c>
    </row>
    <row r="249" spans="1:10">
      <c r="A249" s="3" t="s">
        <v>46</v>
      </c>
      <c r="B249" s="9" t="s">
        <v>77</v>
      </c>
      <c r="C249" s="8" t="s">
        <v>51</v>
      </c>
      <c r="D249" s="5" t="s">
        <v>49</v>
      </c>
      <c r="E249" s="13" t="s">
        <v>62</v>
      </c>
      <c r="F249" s="11">
        <v>1.6810990745578756E-3</v>
      </c>
      <c r="G249" t="str">
        <f t="shared" si="17"/>
        <v>Wandfarbe</v>
      </c>
      <c r="H249" t="str">
        <f t="shared" si="18"/>
        <v>WF</v>
      </c>
      <c r="I249">
        <f t="shared" si="19"/>
        <v>6.6935171617547757</v>
      </c>
      <c r="J249" s="12">
        <f t="shared" si="16"/>
        <v>436.28026207835831</v>
      </c>
    </row>
    <row r="250" spans="1:10">
      <c r="A250" s="3" t="s">
        <v>46</v>
      </c>
      <c r="B250" s="9" t="s">
        <v>77</v>
      </c>
      <c r="C250" s="8" t="s">
        <v>51</v>
      </c>
      <c r="D250" s="5" t="s">
        <v>49</v>
      </c>
      <c r="E250" s="13" t="s">
        <v>63</v>
      </c>
      <c r="F250" s="11">
        <v>1.523820088283819E-2</v>
      </c>
      <c r="G250" t="str">
        <f t="shared" si="17"/>
        <v>Wandfarbe</v>
      </c>
      <c r="H250" t="str">
        <f t="shared" si="18"/>
        <v>WF</v>
      </c>
      <c r="I250">
        <f t="shared" si="19"/>
        <v>6.6935171617547757</v>
      </c>
      <c r="J250" s="12">
        <f t="shared" si="16"/>
        <v>3064.9043232289728</v>
      </c>
    </row>
    <row r="251" spans="1:10">
      <c r="A251" s="3" t="s">
        <v>46</v>
      </c>
      <c r="B251" s="9" t="s">
        <v>77</v>
      </c>
      <c r="C251" s="8" t="s">
        <v>51</v>
      </c>
      <c r="D251" s="5" t="s">
        <v>49</v>
      </c>
      <c r="E251" s="13" t="s">
        <v>64</v>
      </c>
      <c r="F251" s="11">
        <v>0.65330667766018413</v>
      </c>
      <c r="G251" t="str">
        <f t="shared" si="17"/>
        <v>Wandfarbe</v>
      </c>
      <c r="H251" t="str">
        <f t="shared" si="18"/>
        <v>WF</v>
      </c>
      <c r="I251">
        <f t="shared" si="19"/>
        <v>6.6935171617547757</v>
      </c>
      <c r="J251" s="12">
        <f t="shared" si="16"/>
        <v>105193.46158003728</v>
      </c>
    </row>
    <row r="252" spans="1:10">
      <c r="A252" s="3" t="s">
        <v>46</v>
      </c>
      <c r="B252" s="9" t="s">
        <v>77</v>
      </c>
      <c r="C252" s="8" t="s">
        <v>51</v>
      </c>
      <c r="D252" s="5" t="s">
        <v>49</v>
      </c>
      <c r="E252" s="13" t="s">
        <v>65</v>
      </c>
      <c r="F252" s="11">
        <v>0.74779352211157812</v>
      </c>
      <c r="G252" t="str">
        <f t="shared" si="17"/>
        <v>Wandfarbe</v>
      </c>
      <c r="H252" t="str">
        <f t="shared" si="18"/>
        <v>WF</v>
      </c>
      <c r="I252">
        <f t="shared" si="19"/>
        <v>6.6935171617547757</v>
      </c>
      <c r="J252" s="12">
        <f t="shared" si="16"/>
        <v>138897.27501506876</v>
      </c>
    </row>
    <row r="253" spans="1:10">
      <c r="A253" s="3" t="s">
        <v>46</v>
      </c>
      <c r="B253" s="9" t="s">
        <v>77</v>
      </c>
      <c r="C253" s="8" t="s">
        <v>51</v>
      </c>
      <c r="D253" s="5" t="s">
        <v>49</v>
      </c>
      <c r="E253" s="13" t="s">
        <v>66</v>
      </c>
      <c r="F253" s="11">
        <v>0.10413793057953254</v>
      </c>
      <c r="G253" t="str">
        <f t="shared" si="17"/>
        <v>Wandfarbe</v>
      </c>
      <c r="H253" t="str">
        <f t="shared" si="18"/>
        <v>WF</v>
      </c>
      <c r="I253">
        <f t="shared" si="19"/>
        <v>6.6935171617547757</v>
      </c>
      <c r="J253" s="12">
        <f t="shared" si="16"/>
        <v>11038.35388898053</v>
      </c>
    </row>
    <row r="254" spans="1:10">
      <c r="A254" s="3" t="s">
        <v>46</v>
      </c>
      <c r="B254" s="9" t="s">
        <v>77</v>
      </c>
      <c r="C254" s="8" t="s">
        <v>51</v>
      </c>
      <c r="D254" s="5" t="s">
        <v>67</v>
      </c>
      <c r="E254" s="13" t="s">
        <v>50</v>
      </c>
      <c r="F254" s="11">
        <v>0</v>
      </c>
      <c r="G254" t="str">
        <f t="shared" si="17"/>
        <v>Wandfarbe</v>
      </c>
      <c r="H254" t="str">
        <f t="shared" si="18"/>
        <v>WF</v>
      </c>
      <c r="I254">
        <f t="shared" si="19"/>
        <v>6.6935171617547757</v>
      </c>
      <c r="J254" s="12">
        <f t="shared" si="16"/>
        <v>0</v>
      </c>
    </row>
    <row r="255" spans="1:10">
      <c r="A255" s="3" t="s">
        <v>46</v>
      </c>
      <c r="B255" s="9" t="s">
        <v>77</v>
      </c>
      <c r="C255" s="8" t="s">
        <v>51</v>
      </c>
      <c r="D255" s="5" t="s">
        <v>67</v>
      </c>
      <c r="E255" s="13" t="s">
        <v>52</v>
      </c>
      <c r="F255" s="11">
        <v>0</v>
      </c>
      <c r="G255" t="str">
        <f t="shared" si="17"/>
        <v>Wandfarbe</v>
      </c>
      <c r="H255" t="str">
        <f t="shared" si="18"/>
        <v>WF</v>
      </c>
      <c r="I255">
        <f t="shared" si="19"/>
        <v>6.6935171617547757</v>
      </c>
      <c r="J255" s="12">
        <f t="shared" si="16"/>
        <v>0</v>
      </c>
    </row>
    <row r="256" spans="1:10">
      <c r="A256" s="3" t="s">
        <v>46</v>
      </c>
      <c r="B256" s="9" t="s">
        <v>77</v>
      </c>
      <c r="C256" s="8" t="s">
        <v>51</v>
      </c>
      <c r="D256" s="5" t="s">
        <v>67</v>
      </c>
      <c r="E256" s="13" t="s">
        <v>54</v>
      </c>
      <c r="F256" s="11">
        <v>0</v>
      </c>
      <c r="G256" t="str">
        <f t="shared" si="17"/>
        <v>Wandfarbe</v>
      </c>
      <c r="H256" t="str">
        <f t="shared" si="18"/>
        <v>WF</v>
      </c>
      <c r="I256">
        <f t="shared" si="19"/>
        <v>6.6935171617547757</v>
      </c>
      <c r="J256" s="12">
        <f t="shared" si="16"/>
        <v>0</v>
      </c>
    </row>
    <row r="257" spans="1:10">
      <c r="A257" s="3" t="s">
        <v>46</v>
      </c>
      <c r="B257" s="9" t="s">
        <v>77</v>
      </c>
      <c r="C257" s="8" t="s">
        <v>51</v>
      </c>
      <c r="D257" s="5" t="s">
        <v>67</v>
      </c>
      <c r="E257" s="13" t="s">
        <v>56</v>
      </c>
      <c r="F257" s="11">
        <v>0</v>
      </c>
      <c r="G257" t="str">
        <f t="shared" si="17"/>
        <v>Wandfarbe</v>
      </c>
      <c r="H257" t="str">
        <f t="shared" si="18"/>
        <v>WF</v>
      </c>
      <c r="I257">
        <f t="shared" si="19"/>
        <v>6.6935171617547757</v>
      </c>
      <c r="J257" s="12">
        <f t="shared" si="16"/>
        <v>0</v>
      </c>
    </row>
    <row r="258" spans="1:10">
      <c r="A258" s="3" t="s">
        <v>46</v>
      </c>
      <c r="B258" s="9" t="s">
        <v>77</v>
      </c>
      <c r="C258" s="8" t="s">
        <v>51</v>
      </c>
      <c r="D258" s="5" t="s">
        <v>67</v>
      </c>
      <c r="E258" s="13" t="s">
        <v>58</v>
      </c>
      <c r="F258" s="11">
        <v>0</v>
      </c>
      <c r="G258" t="str">
        <f t="shared" si="17"/>
        <v>Wandfarbe</v>
      </c>
      <c r="H258" t="str">
        <f t="shared" si="18"/>
        <v>WF</v>
      </c>
      <c r="I258">
        <f t="shared" si="19"/>
        <v>6.6935171617547757</v>
      </c>
      <c r="J258" s="12">
        <f t="shared" si="16"/>
        <v>0</v>
      </c>
    </row>
    <row r="259" spans="1:10">
      <c r="A259" s="3" t="s">
        <v>46</v>
      </c>
      <c r="B259" s="9" t="s">
        <v>77</v>
      </c>
      <c r="C259" s="8" t="s">
        <v>51</v>
      </c>
      <c r="D259" s="5" t="s">
        <v>67</v>
      </c>
      <c r="E259" s="13" t="s">
        <v>60</v>
      </c>
      <c r="F259" s="11">
        <v>1.5003117633636076E-4</v>
      </c>
      <c r="G259" t="str">
        <f t="shared" si="17"/>
        <v>Wandfarbe</v>
      </c>
      <c r="H259" t="str">
        <f t="shared" si="18"/>
        <v>WF</v>
      </c>
      <c r="I259">
        <f t="shared" si="19"/>
        <v>6.6935171617547757</v>
      </c>
      <c r="J259" s="12">
        <f t="shared" ref="J259:J289" si="20">INDEX($P$16:$AF$22,MATCH(H259,$P$16:$P$22,0),MATCH(E259,$P$16:$AF$16,0))*F259/I259</f>
        <v>40.974342575962254</v>
      </c>
    </row>
    <row r="260" spans="1:10">
      <c r="A260" s="3" t="s">
        <v>46</v>
      </c>
      <c r="B260" s="9" t="s">
        <v>77</v>
      </c>
      <c r="C260" s="8" t="s">
        <v>51</v>
      </c>
      <c r="D260" s="5" t="s">
        <v>67</v>
      </c>
      <c r="E260" s="13" t="s">
        <v>61</v>
      </c>
      <c r="F260" s="11">
        <v>0</v>
      </c>
      <c r="G260" t="str">
        <f t="shared" si="17"/>
        <v>Wandfarbe</v>
      </c>
      <c r="H260" t="str">
        <f t="shared" si="18"/>
        <v>WF</v>
      </c>
      <c r="I260">
        <f t="shared" si="19"/>
        <v>6.6935171617547757</v>
      </c>
      <c r="J260" s="12">
        <f t="shared" si="20"/>
        <v>0</v>
      </c>
    </row>
    <row r="261" spans="1:10">
      <c r="A261" s="3" t="s">
        <v>46</v>
      </c>
      <c r="B261" s="9" t="s">
        <v>77</v>
      </c>
      <c r="C261" s="8" t="s">
        <v>51</v>
      </c>
      <c r="D261" s="5" t="s">
        <v>67</v>
      </c>
      <c r="E261" s="13" t="s">
        <v>62</v>
      </c>
      <c r="F261" s="11">
        <v>0</v>
      </c>
      <c r="G261" t="str">
        <f t="shared" si="17"/>
        <v>Wandfarbe</v>
      </c>
      <c r="H261" t="str">
        <f t="shared" si="18"/>
        <v>WF</v>
      </c>
      <c r="I261">
        <f t="shared" si="19"/>
        <v>6.6935171617547757</v>
      </c>
      <c r="J261" s="12">
        <f t="shared" si="20"/>
        <v>0</v>
      </c>
    </row>
    <row r="262" spans="1:10">
      <c r="A262" s="3" t="s">
        <v>46</v>
      </c>
      <c r="B262" s="9" t="s">
        <v>77</v>
      </c>
      <c r="C262" s="8" t="s">
        <v>51</v>
      </c>
      <c r="D262" s="5" t="s">
        <v>67</v>
      </c>
      <c r="E262" s="13" t="s">
        <v>63</v>
      </c>
      <c r="F262" s="11">
        <v>0</v>
      </c>
      <c r="G262" t="str">
        <f t="shared" si="17"/>
        <v>Wandfarbe</v>
      </c>
      <c r="H262" t="str">
        <f t="shared" si="18"/>
        <v>WF</v>
      </c>
      <c r="I262">
        <f t="shared" si="19"/>
        <v>6.6935171617547757</v>
      </c>
      <c r="J262" s="12">
        <f t="shared" si="20"/>
        <v>0</v>
      </c>
    </row>
    <row r="263" spans="1:10">
      <c r="A263" s="3" t="s">
        <v>46</v>
      </c>
      <c r="B263" s="9" t="s">
        <v>77</v>
      </c>
      <c r="C263" s="8" t="s">
        <v>51</v>
      </c>
      <c r="D263" s="5" t="s">
        <v>67</v>
      </c>
      <c r="E263" s="13" t="s">
        <v>64</v>
      </c>
      <c r="F263" s="11">
        <v>0</v>
      </c>
      <c r="G263" t="str">
        <f t="shared" si="17"/>
        <v>Wandfarbe</v>
      </c>
      <c r="H263" t="str">
        <f t="shared" si="18"/>
        <v>WF</v>
      </c>
      <c r="I263">
        <f t="shared" si="19"/>
        <v>6.6935171617547757</v>
      </c>
      <c r="J263" s="12">
        <f t="shared" si="20"/>
        <v>0</v>
      </c>
    </row>
    <row r="264" spans="1:10">
      <c r="A264" s="3" t="s">
        <v>46</v>
      </c>
      <c r="B264" s="9" t="s">
        <v>77</v>
      </c>
      <c r="C264" s="8" t="s">
        <v>51</v>
      </c>
      <c r="D264" s="5" t="s">
        <v>67</v>
      </c>
      <c r="E264" s="13" t="s">
        <v>65</v>
      </c>
      <c r="F264" s="11">
        <v>0</v>
      </c>
      <c r="G264" t="str">
        <f t="shared" si="17"/>
        <v>Wandfarbe</v>
      </c>
      <c r="H264" t="str">
        <f t="shared" si="18"/>
        <v>WF</v>
      </c>
      <c r="I264">
        <f t="shared" si="19"/>
        <v>6.6935171617547757</v>
      </c>
      <c r="J264" s="12">
        <f t="shared" si="20"/>
        <v>0</v>
      </c>
    </row>
    <row r="265" spans="1:10">
      <c r="A265" s="3" t="s">
        <v>46</v>
      </c>
      <c r="B265" s="9" t="s">
        <v>77</v>
      </c>
      <c r="C265" s="8" t="s">
        <v>51</v>
      </c>
      <c r="D265" s="5" t="s">
        <v>67</v>
      </c>
      <c r="E265" s="13" t="s">
        <v>66</v>
      </c>
      <c r="F265" s="11">
        <v>0</v>
      </c>
      <c r="G265" t="str">
        <f t="shared" si="17"/>
        <v>Wandfarbe</v>
      </c>
      <c r="H265" t="str">
        <f t="shared" si="18"/>
        <v>WF</v>
      </c>
      <c r="I265">
        <f t="shared" si="19"/>
        <v>6.6935171617547757</v>
      </c>
      <c r="J265" s="12">
        <f t="shared" si="20"/>
        <v>0</v>
      </c>
    </row>
    <row r="266" spans="1:10">
      <c r="A266" s="3" t="s">
        <v>46</v>
      </c>
      <c r="B266" s="9" t="s">
        <v>77</v>
      </c>
      <c r="C266" s="8" t="s">
        <v>51</v>
      </c>
      <c r="D266" s="5" t="s">
        <v>71</v>
      </c>
      <c r="E266" s="13" t="s">
        <v>50</v>
      </c>
      <c r="F266" s="11">
        <v>0.26673898470958884</v>
      </c>
      <c r="G266" t="str">
        <f t="shared" si="17"/>
        <v>Wandfarbe</v>
      </c>
      <c r="H266" t="str">
        <f t="shared" si="18"/>
        <v>WF</v>
      </c>
      <c r="I266">
        <f t="shared" si="19"/>
        <v>6.6935171617547757</v>
      </c>
      <c r="J266" s="12">
        <f t="shared" si="20"/>
        <v>49694.247598368893</v>
      </c>
    </row>
    <row r="267" spans="1:10">
      <c r="A267" s="3" t="s">
        <v>46</v>
      </c>
      <c r="B267" s="9" t="s">
        <v>77</v>
      </c>
      <c r="C267" s="8" t="s">
        <v>51</v>
      </c>
      <c r="D267" s="5" t="s">
        <v>71</v>
      </c>
      <c r="E267" s="13" t="s">
        <v>52</v>
      </c>
      <c r="F267" s="11">
        <v>0.56198128049602403</v>
      </c>
      <c r="G267" t="str">
        <f t="shared" si="17"/>
        <v>Wandfarbe</v>
      </c>
      <c r="H267" t="str">
        <f t="shared" si="18"/>
        <v>WF</v>
      </c>
      <c r="I267">
        <f t="shared" si="19"/>
        <v>6.6935171617547757</v>
      </c>
      <c r="J267" s="12">
        <f t="shared" si="20"/>
        <v>97685.702117131892</v>
      </c>
    </row>
    <row r="268" spans="1:10">
      <c r="A268" s="3" t="s">
        <v>46</v>
      </c>
      <c r="B268" s="9" t="s">
        <v>77</v>
      </c>
      <c r="C268" s="8" t="s">
        <v>51</v>
      </c>
      <c r="D268" s="5" t="s">
        <v>71</v>
      </c>
      <c r="E268" s="13" t="s">
        <v>54</v>
      </c>
      <c r="F268" s="11">
        <v>0.68445221722502214</v>
      </c>
      <c r="G268" t="str">
        <f t="shared" si="17"/>
        <v>Wandfarbe</v>
      </c>
      <c r="H268" t="str">
        <f t="shared" si="18"/>
        <v>WF</v>
      </c>
      <c r="I268">
        <f t="shared" si="19"/>
        <v>6.6935171617547757</v>
      </c>
      <c r="J268" s="12">
        <f t="shared" si="20"/>
        <v>182577.80659618691</v>
      </c>
    </row>
    <row r="269" spans="1:10">
      <c r="A269" s="3" t="s">
        <v>46</v>
      </c>
      <c r="B269" s="9" t="s">
        <v>77</v>
      </c>
      <c r="C269" s="8" t="s">
        <v>51</v>
      </c>
      <c r="D269" s="5" t="s">
        <v>71</v>
      </c>
      <c r="E269" s="13" t="s">
        <v>56</v>
      </c>
      <c r="F269" s="11">
        <v>0.86626537937662684</v>
      </c>
      <c r="G269" t="str">
        <f t="shared" si="17"/>
        <v>Wandfarbe</v>
      </c>
      <c r="H269" t="str">
        <f t="shared" si="18"/>
        <v>WF</v>
      </c>
      <c r="I269">
        <f t="shared" si="19"/>
        <v>6.6935171617547757</v>
      </c>
      <c r="J269" s="12">
        <f t="shared" si="20"/>
        <v>187061.22583302553</v>
      </c>
    </row>
    <row r="270" spans="1:10">
      <c r="A270" s="3" t="s">
        <v>46</v>
      </c>
      <c r="B270" s="9" t="s">
        <v>77</v>
      </c>
      <c r="C270" s="8" t="s">
        <v>51</v>
      </c>
      <c r="D270" s="5" t="s">
        <v>71</v>
      </c>
      <c r="E270" s="13" t="s">
        <v>58</v>
      </c>
      <c r="F270" s="11">
        <v>0.2802953196393605</v>
      </c>
      <c r="G270" t="str">
        <f t="shared" si="17"/>
        <v>Wandfarbe</v>
      </c>
      <c r="H270" t="str">
        <f t="shared" si="18"/>
        <v>WF</v>
      </c>
      <c r="I270">
        <f t="shared" si="19"/>
        <v>6.6935171617547757</v>
      </c>
      <c r="J270" s="12">
        <f t="shared" si="20"/>
        <v>92977.062630165659</v>
      </c>
    </row>
    <row r="271" spans="1:10">
      <c r="A271" s="3" t="s">
        <v>46</v>
      </c>
      <c r="B271" s="9" t="s">
        <v>77</v>
      </c>
      <c r="C271" s="8" t="s">
        <v>51</v>
      </c>
      <c r="D271" s="5" t="s">
        <v>71</v>
      </c>
      <c r="E271" s="13" t="s">
        <v>60</v>
      </c>
      <c r="F271" s="11">
        <v>0.9909039003902963</v>
      </c>
      <c r="G271" t="str">
        <f t="shared" si="17"/>
        <v>Wandfarbe</v>
      </c>
      <c r="H271" t="str">
        <f t="shared" si="18"/>
        <v>WF</v>
      </c>
      <c r="I271">
        <f t="shared" si="19"/>
        <v>6.6935171617547757</v>
      </c>
      <c r="J271" s="12">
        <f t="shared" si="20"/>
        <v>270621.32595309912</v>
      </c>
    </row>
    <row r="272" spans="1:10">
      <c r="A272" s="3" t="s">
        <v>46</v>
      </c>
      <c r="B272" s="9" t="s">
        <v>77</v>
      </c>
      <c r="C272" s="8" t="s">
        <v>51</v>
      </c>
      <c r="D272" s="5" t="s">
        <v>71</v>
      </c>
      <c r="E272" s="13" t="s">
        <v>61</v>
      </c>
      <c r="F272" s="11">
        <v>0.69954074577052339</v>
      </c>
      <c r="G272" t="str">
        <f t="shared" si="17"/>
        <v>Wandfarbe</v>
      </c>
      <c r="H272" t="str">
        <f t="shared" si="18"/>
        <v>WF</v>
      </c>
      <c r="I272">
        <f t="shared" si="19"/>
        <v>6.6935171617547757</v>
      </c>
      <c r="J272" s="12">
        <f t="shared" si="20"/>
        <v>190215.84734053872</v>
      </c>
    </row>
    <row r="273" spans="1:10">
      <c r="A273" s="3" t="s">
        <v>46</v>
      </c>
      <c r="B273" s="9" t="s">
        <v>77</v>
      </c>
      <c r="C273" s="8" t="s">
        <v>51</v>
      </c>
      <c r="D273" s="5" t="s">
        <v>71</v>
      </c>
      <c r="E273" s="13" t="s">
        <v>62</v>
      </c>
      <c r="F273" s="11">
        <v>0.99341608799387593</v>
      </c>
      <c r="G273" t="str">
        <f t="shared" si="17"/>
        <v>Wandfarbe</v>
      </c>
      <c r="H273" t="str">
        <f t="shared" si="18"/>
        <v>WF</v>
      </c>
      <c r="I273">
        <f t="shared" si="19"/>
        <v>6.6935171617547757</v>
      </c>
      <c r="J273" s="12">
        <f t="shared" si="20"/>
        <v>257812.18833685378</v>
      </c>
    </row>
    <row r="274" spans="1:10">
      <c r="A274" s="3" t="s">
        <v>46</v>
      </c>
      <c r="B274" s="9" t="s">
        <v>77</v>
      </c>
      <c r="C274" s="8" t="s">
        <v>51</v>
      </c>
      <c r="D274" s="5" t="s">
        <v>71</v>
      </c>
      <c r="E274" s="13" t="s">
        <v>63</v>
      </c>
      <c r="F274" s="11">
        <v>0.97843777970165446</v>
      </c>
      <c r="G274" t="str">
        <f t="shared" si="17"/>
        <v>Wandfarbe</v>
      </c>
      <c r="H274" t="str">
        <f t="shared" si="18"/>
        <v>WF</v>
      </c>
      <c r="I274">
        <f t="shared" si="19"/>
        <v>6.6935171617547757</v>
      </c>
      <c r="J274" s="12">
        <f t="shared" si="20"/>
        <v>196796.07875464711</v>
      </c>
    </row>
    <row r="275" spans="1:10">
      <c r="A275" s="3" t="s">
        <v>46</v>
      </c>
      <c r="B275" s="9" t="s">
        <v>77</v>
      </c>
      <c r="C275" s="8" t="s">
        <v>51</v>
      </c>
      <c r="D275" s="5" t="s">
        <v>71</v>
      </c>
      <c r="E275" s="13" t="s">
        <v>64</v>
      </c>
      <c r="F275" s="11">
        <v>0.16892020883943398</v>
      </c>
      <c r="G275" t="str">
        <f t="shared" si="17"/>
        <v>Wandfarbe</v>
      </c>
      <c r="H275" t="str">
        <f t="shared" si="18"/>
        <v>WF</v>
      </c>
      <c r="I275">
        <f t="shared" si="19"/>
        <v>6.6935171617547757</v>
      </c>
      <c r="J275" s="12">
        <f t="shared" si="20"/>
        <v>27199.020163521935</v>
      </c>
    </row>
    <row r="276" spans="1:10">
      <c r="A276" s="3" t="s">
        <v>46</v>
      </c>
      <c r="B276" s="9" t="s">
        <v>77</v>
      </c>
      <c r="C276" s="8" t="s">
        <v>51</v>
      </c>
      <c r="D276" s="5" t="s">
        <v>71</v>
      </c>
      <c r="E276" s="13" t="s">
        <v>65</v>
      </c>
      <c r="F276" s="11">
        <v>0.24978702135779243</v>
      </c>
      <c r="G276" t="str">
        <f t="shared" si="17"/>
        <v>Wandfarbe</v>
      </c>
      <c r="H276" t="str">
        <f t="shared" si="18"/>
        <v>WF</v>
      </c>
      <c r="I276">
        <f t="shared" si="19"/>
        <v>6.6935171617547757</v>
      </c>
      <c r="J276" s="12">
        <f t="shared" si="20"/>
        <v>46396.144891385346</v>
      </c>
    </row>
    <row r="277" spans="1:10">
      <c r="A277" s="3" t="s">
        <v>46</v>
      </c>
      <c r="B277" s="9" t="s">
        <v>77</v>
      </c>
      <c r="C277" s="8" t="s">
        <v>51</v>
      </c>
      <c r="D277" s="5" t="s">
        <v>71</v>
      </c>
      <c r="E277" s="13" t="s">
        <v>66</v>
      </c>
      <c r="F277" s="11">
        <v>0.83813546133503702</v>
      </c>
      <c r="G277" t="str">
        <f t="shared" si="17"/>
        <v>Wandfarbe</v>
      </c>
      <c r="H277" t="str">
        <f t="shared" si="18"/>
        <v>WF</v>
      </c>
      <c r="I277">
        <f t="shared" si="19"/>
        <v>6.6935171617547757</v>
      </c>
      <c r="J277" s="12">
        <f t="shared" si="20"/>
        <v>88840.211992252036</v>
      </c>
    </row>
    <row r="278" spans="1:10">
      <c r="A278" s="3" t="s">
        <v>46</v>
      </c>
      <c r="B278" s="9" t="s">
        <v>77</v>
      </c>
      <c r="C278" s="8" t="s">
        <v>51</v>
      </c>
      <c r="D278" s="5" t="s">
        <v>72</v>
      </c>
      <c r="E278" s="13" t="s">
        <v>50</v>
      </c>
      <c r="F278" s="11">
        <v>3.8758854864980787E-3</v>
      </c>
      <c r="G278" t="str">
        <f t="shared" ref="G278:G289" si="21">_xlfn.XLOOKUP(C278,$V$2:$V$7,$T$2:$T$7)</f>
        <v>Wandfarbe</v>
      </c>
      <c r="H278" t="str">
        <f t="shared" ref="H278:H289" si="22">_xlfn.XLOOKUP(C278,$V$2:$V$7,$S$2:$S$7)</f>
        <v>WF</v>
      </c>
      <c r="I278">
        <f t="shared" ref="I278:I289" si="23">_xlfn.XLOOKUP(C278,$V$2:$V$7,$U$2:$U$7)</f>
        <v>6.6935171617547757</v>
      </c>
      <c r="J278" s="12">
        <f t="shared" si="20"/>
        <v>722.08872369617302</v>
      </c>
    </row>
    <row r="279" spans="1:10">
      <c r="A279" s="3" t="s">
        <v>46</v>
      </c>
      <c r="B279" s="9" t="s">
        <v>77</v>
      </c>
      <c r="C279" s="8" t="s">
        <v>51</v>
      </c>
      <c r="D279" s="5" t="s">
        <v>72</v>
      </c>
      <c r="E279" s="13" t="s">
        <v>52</v>
      </c>
      <c r="F279" s="11">
        <v>0.37509992702419148</v>
      </c>
      <c r="G279" t="str">
        <f t="shared" si="21"/>
        <v>Wandfarbe</v>
      </c>
      <c r="H279" t="str">
        <f t="shared" si="22"/>
        <v>WF</v>
      </c>
      <c r="I279">
        <f t="shared" si="23"/>
        <v>6.6935171617547757</v>
      </c>
      <c r="J279" s="12">
        <f t="shared" si="20"/>
        <v>65201.281621163034</v>
      </c>
    </row>
    <row r="280" spans="1:10">
      <c r="A280" s="3" t="s">
        <v>46</v>
      </c>
      <c r="B280" s="9" t="s">
        <v>77</v>
      </c>
      <c r="C280" s="8" t="s">
        <v>51</v>
      </c>
      <c r="D280" s="5" t="s">
        <v>72</v>
      </c>
      <c r="E280" s="13" t="s">
        <v>54</v>
      </c>
      <c r="F280" s="11">
        <v>0.11793562698328755</v>
      </c>
      <c r="G280" t="str">
        <f t="shared" si="21"/>
        <v>Wandfarbe</v>
      </c>
      <c r="H280" t="str">
        <f t="shared" si="22"/>
        <v>WF</v>
      </c>
      <c r="I280">
        <f t="shared" si="23"/>
        <v>6.6935171617547757</v>
      </c>
      <c r="J280" s="12">
        <f t="shared" si="20"/>
        <v>31459.359108300858</v>
      </c>
    </row>
    <row r="281" spans="1:10">
      <c r="A281" s="3" t="s">
        <v>46</v>
      </c>
      <c r="B281" s="9" t="s">
        <v>77</v>
      </c>
      <c r="C281" s="8" t="s">
        <v>51</v>
      </c>
      <c r="D281" s="5" t="s">
        <v>72</v>
      </c>
      <c r="E281" s="13" t="s">
        <v>56</v>
      </c>
      <c r="F281" s="11">
        <v>0.11945248500900764</v>
      </c>
      <c r="G281" t="str">
        <f t="shared" si="21"/>
        <v>Wandfarbe</v>
      </c>
      <c r="H281" t="str">
        <f t="shared" si="22"/>
        <v>WF</v>
      </c>
      <c r="I281">
        <f t="shared" si="23"/>
        <v>6.6935171617547757</v>
      </c>
      <c r="J281" s="12">
        <f t="shared" si="20"/>
        <v>25794.553039468923</v>
      </c>
    </row>
    <row r="282" spans="1:10">
      <c r="A282" s="3" t="s">
        <v>46</v>
      </c>
      <c r="B282" s="9" t="s">
        <v>77</v>
      </c>
      <c r="C282" s="8" t="s">
        <v>51</v>
      </c>
      <c r="D282" s="5" t="s">
        <v>72</v>
      </c>
      <c r="E282" s="13" t="s">
        <v>58</v>
      </c>
      <c r="F282" s="11">
        <v>0.22524333135057839</v>
      </c>
      <c r="G282" t="str">
        <f t="shared" si="21"/>
        <v>Wandfarbe</v>
      </c>
      <c r="H282" t="str">
        <f t="shared" si="22"/>
        <v>WF</v>
      </c>
      <c r="I282">
        <f t="shared" si="23"/>
        <v>6.6935171617547757</v>
      </c>
      <c r="J282" s="12">
        <f t="shared" si="20"/>
        <v>74715.708249981908</v>
      </c>
    </row>
    <row r="283" spans="1:10">
      <c r="A283" s="3" t="s">
        <v>46</v>
      </c>
      <c r="B283" s="9" t="s">
        <v>77</v>
      </c>
      <c r="C283" s="8" t="s">
        <v>51</v>
      </c>
      <c r="D283" s="5" t="s">
        <v>72</v>
      </c>
      <c r="E283" s="13" t="s">
        <v>60</v>
      </c>
      <c r="F283" s="11">
        <v>2.8090325331978374E-3</v>
      </c>
      <c r="G283" t="str">
        <f t="shared" si="21"/>
        <v>Wandfarbe</v>
      </c>
      <c r="H283" t="str">
        <f t="shared" si="22"/>
        <v>WF</v>
      </c>
      <c r="I283">
        <f t="shared" si="23"/>
        <v>6.6935171617547757</v>
      </c>
      <c r="J283" s="12">
        <f t="shared" si="20"/>
        <v>767.16229341712267</v>
      </c>
    </row>
    <row r="284" spans="1:10">
      <c r="A284" s="3" t="s">
        <v>46</v>
      </c>
      <c r="B284" s="9" t="s">
        <v>77</v>
      </c>
      <c r="C284" s="8" t="s">
        <v>51</v>
      </c>
      <c r="D284" s="5" t="s">
        <v>72</v>
      </c>
      <c r="E284" s="13" t="s">
        <v>61</v>
      </c>
      <c r="F284" s="11">
        <v>0.10418274775634379</v>
      </c>
      <c r="G284" t="str">
        <f t="shared" si="21"/>
        <v>Wandfarbe</v>
      </c>
      <c r="H284" t="str">
        <f t="shared" si="22"/>
        <v>WF</v>
      </c>
      <c r="I284">
        <f t="shared" si="23"/>
        <v>6.6935171617547757</v>
      </c>
      <c r="J284" s="12">
        <f t="shared" si="20"/>
        <v>28328.885433128668</v>
      </c>
    </row>
    <row r="285" spans="1:10">
      <c r="A285" s="3" t="s">
        <v>46</v>
      </c>
      <c r="B285" s="9" t="s">
        <v>77</v>
      </c>
      <c r="C285" s="8" t="s">
        <v>51</v>
      </c>
      <c r="D285" s="5" t="s">
        <v>72</v>
      </c>
      <c r="E285" s="13" t="s">
        <v>62</v>
      </c>
      <c r="F285" s="11">
        <v>4.9028129315662975E-3</v>
      </c>
      <c r="G285" t="str">
        <f t="shared" si="21"/>
        <v>Wandfarbe</v>
      </c>
      <c r="H285" t="str">
        <f t="shared" si="22"/>
        <v>WF</v>
      </c>
      <c r="I285">
        <f t="shared" si="23"/>
        <v>6.6935171617547757</v>
      </c>
      <c r="J285" s="12">
        <f t="shared" si="20"/>
        <v>1272.3821832258513</v>
      </c>
    </row>
    <row r="286" spans="1:10">
      <c r="A286" s="3" t="s">
        <v>46</v>
      </c>
      <c r="B286" s="9" t="s">
        <v>77</v>
      </c>
      <c r="C286" s="8" t="s">
        <v>51</v>
      </c>
      <c r="D286" s="5" t="s">
        <v>72</v>
      </c>
      <c r="E286" s="13" t="s">
        <v>63</v>
      </c>
      <c r="F286" s="11">
        <v>6.3240194155073362E-3</v>
      </c>
      <c r="G286" t="str">
        <f t="shared" si="21"/>
        <v>Wandfarbe</v>
      </c>
      <c r="H286" t="str">
        <f t="shared" si="22"/>
        <v>WF</v>
      </c>
      <c r="I286">
        <f t="shared" si="23"/>
        <v>6.6935171617547757</v>
      </c>
      <c r="J286" s="12">
        <f t="shared" si="20"/>
        <v>1271.9686920915763</v>
      </c>
    </row>
    <row r="287" spans="1:10">
      <c r="A287" s="3" t="s">
        <v>46</v>
      </c>
      <c r="B287" s="9" t="s">
        <v>77</v>
      </c>
      <c r="C287" s="8" t="s">
        <v>51</v>
      </c>
      <c r="D287" s="5" t="s">
        <v>72</v>
      </c>
      <c r="E287" s="13" t="s">
        <v>64</v>
      </c>
      <c r="F287" s="11">
        <v>0.17777311350038186</v>
      </c>
      <c r="G287" t="str">
        <f t="shared" si="21"/>
        <v>Wandfarbe</v>
      </c>
      <c r="H287" t="str">
        <f t="shared" si="22"/>
        <v>WF</v>
      </c>
      <c r="I287">
        <f t="shared" si="23"/>
        <v>6.6935171617547757</v>
      </c>
      <c r="J287" s="12">
        <f t="shared" si="20"/>
        <v>28624.48804586241</v>
      </c>
    </row>
    <row r="288" spans="1:10">
      <c r="A288" s="3" t="s">
        <v>46</v>
      </c>
      <c r="B288" s="9" t="s">
        <v>77</v>
      </c>
      <c r="C288" s="8" t="s">
        <v>51</v>
      </c>
      <c r="D288" s="5" t="s">
        <v>72</v>
      </c>
      <c r="E288" s="13" t="s">
        <v>65</v>
      </c>
      <c r="F288" s="11">
        <v>2.4194565306295012E-3</v>
      </c>
      <c r="G288" t="str">
        <f t="shared" si="21"/>
        <v>Wandfarbe</v>
      </c>
      <c r="H288" t="str">
        <f t="shared" si="22"/>
        <v>WF</v>
      </c>
      <c r="I288">
        <f t="shared" si="23"/>
        <v>6.6935171617547757</v>
      </c>
      <c r="J288" s="12">
        <f t="shared" si="20"/>
        <v>449.3966705848344</v>
      </c>
    </row>
    <row r="289" spans="1:10">
      <c r="A289" s="3" t="s">
        <v>46</v>
      </c>
      <c r="B289" s="9" t="s">
        <v>77</v>
      </c>
      <c r="C289" s="8" t="s">
        <v>51</v>
      </c>
      <c r="D289" s="5" t="s">
        <v>72</v>
      </c>
      <c r="E289" s="13" t="s">
        <v>66</v>
      </c>
      <c r="F289" s="11">
        <v>5.7726608085430425E-2</v>
      </c>
      <c r="G289" t="str">
        <f t="shared" si="21"/>
        <v>Wandfarbe</v>
      </c>
      <c r="H289" t="str">
        <f t="shared" si="22"/>
        <v>WF</v>
      </c>
      <c r="I289">
        <f t="shared" si="23"/>
        <v>6.6935171617547757</v>
      </c>
      <c r="J289" s="12">
        <f t="shared" si="20"/>
        <v>6118.8725886080128</v>
      </c>
    </row>
  </sheetData>
  <autoFilter ref="A1:F289" xr:uid="{E198F8F7-64E5-4F62-8D12-6A93E58D2E93}">
    <sortState xmlns:xlrd2="http://schemas.microsoft.com/office/spreadsheetml/2017/richdata2" ref="A2:F289">
      <sortCondition ref="C1:C289"/>
    </sortState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9EDF-F598-4608-87DC-4755159C3CA9}">
  <dimension ref="A1:D289"/>
  <sheetViews>
    <sheetView workbookViewId="0">
      <selection activeCell="F7" sqref="F7:F8"/>
    </sheetView>
  </sheetViews>
  <sheetFormatPr defaultColWidth="11.42578125" defaultRowHeight="15"/>
  <cols>
    <col min="1" max="1" width="25" bestFit="1" customWidth="1"/>
    <col min="2" max="2" width="6.42578125" bestFit="1" customWidth="1"/>
    <col min="3" max="3" width="12.85546875" bestFit="1" customWidth="1"/>
    <col min="4" max="4" width="21.42578125" style="12" bestFit="1" customWidth="1"/>
  </cols>
  <sheetData>
    <row r="1" spans="1:4">
      <c r="A1" s="1" t="s">
        <v>78</v>
      </c>
      <c r="B1" s="1" t="s">
        <v>79</v>
      </c>
      <c r="C1" s="1" t="s">
        <v>80</v>
      </c>
      <c r="D1" s="14" t="s">
        <v>81</v>
      </c>
    </row>
    <row r="2" spans="1:4">
      <c r="A2" s="8" t="s">
        <v>82</v>
      </c>
      <c r="B2" s="8" t="s">
        <v>50</v>
      </c>
      <c r="C2" s="8" t="s">
        <v>49</v>
      </c>
      <c r="D2" s="15">
        <v>210362.42205578182</v>
      </c>
    </row>
    <row r="3" spans="1:4">
      <c r="A3" s="8" t="s">
        <v>82</v>
      </c>
      <c r="B3" s="8" t="s">
        <v>52</v>
      </c>
      <c r="C3" s="8" t="s">
        <v>49</v>
      </c>
      <c r="D3" s="15">
        <v>104277.66158796904</v>
      </c>
    </row>
    <row r="4" spans="1:4">
      <c r="A4" s="8" t="s">
        <v>82</v>
      </c>
      <c r="B4" s="8" t="s">
        <v>54</v>
      </c>
      <c r="C4" s="8" t="s">
        <v>49</v>
      </c>
      <c r="D4" s="15">
        <v>549248.82176595519</v>
      </c>
    </row>
    <row r="5" spans="1:4">
      <c r="A5" s="8" t="s">
        <v>82</v>
      </c>
      <c r="B5" s="8" t="s">
        <v>56</v>
      </c>
      <c r="C5" s="8" t="s">
        <v>49</v>
      </c>
      <c r="D5" s="15">
        <v>114683.28245815617</v>
      </c>
    </row>
    <row r="6" spans="1:4">
      <c r="A6" s="8" t="s">
        <v>82</v>
      </c>
      <c r="B6" s="8" t="s">
        <v>58</v>
      </c>
      <c r="C6" s="8" t="s">
        <v>49</v>
      </c>
      <c r="D6" s="15">
        <v>396447.0663212238</v>
      </c>
    </row>
    <row r="7" spans="1:4">
      <c r="A7" s="8" t="s">
        <v>82</v>
      </c>
      <c r="B7" s="8" t="s">
        <v>60</v>
      </c>
      <c r="C7" s="8" t="s">
        <v>49</v>
      </c>
      <c r="D7" s="15">
        <v>294663.22269853315</v>
      </c>
    </row>
    <row r="8" spans="1:4">
      <c r="A8" s="8" t="s">
        <v>82</v>
      </c>
      <c r="B8" s="8" t="s">
        <v>61</v>
      </c>
      <c r="C8" s="8" t="s">
        <v>49</v>
      </c>
      <c r="D8" s="15">
        <v>148316.25957504031</v>
      </c>
    </row>
    <row r="9" spans="1:4">
      <c r="A9" s="8" t="s">
        <v>82</v>
      </c>
      <c r="B9" s="8" t="s">
        <v>62</v>
      </c>
      <c r="C9" s="8" t="s">
        <v>49</v>
      </c>
      <c r="D9" s="15">
        <v>118801.45070480381</v>
      </c>
    </row>
    <row r="10" spans="1:4">
      <c r="A10" s="8" t="s">
        <v>82</v>
      </c>
      <c r="B10" s="8" t="s">
        <v>63</v>
      </c>
      <c r="C10" s="8" t="s">
        <v>49</v>
      </c>
      <c r="D10" s="15">
        <v>164376.70715896424</v>
      </c>
    </row>
    <row r="11" spans="1:4">
      <c r="A11" s="8" t="s">
        <v>82</v>
      </c>
      <c r="B11" s="8" t="s">
        <v>64</v>
      </c>
      <c r="C11" s="8" t="s">
        <v>49</v>
      </c>
      <c r="D11" s="15">
        <v>246059.66750828669</v>
      </c>
    </row>
    <row r="12" spans="1:4">
      <c r="A12" s="8" t="s">
        <v>82</v>
      </c>
      <c r="B12" s="8" t="s">
        <v>65</v>
      </c>
      <c r="C12" s="8" t="s">
        <v>49</v>
      </c>
      <c r="D12" s="15">
        <v>197709.79970951084</v>
      </c>
    </row>
    <row r="13" spans="1:4">
      <c r="A13" s="8" t="s">
        <v>82</v>
      </c>
      <c r="B13" s="8" t="s">
        <v>66</v>
      </c>
      <c r="C13" s="8" t="s">
        <v>49</v>
      </c>
      <c r="D13" s="15">
        <v>86563.773580731242</v>
      </c>
    </row>
    <row r="14" spans="1:4">
      <c r="A14" s="8" t="s">
        <v>82</v>
      </c>
      <c r="B14" s="8" t="s">
        <v>50</v>
      </c>
      <c r="C14" s="8" t="s">
        <v>67</v>
      </c>
      <c r="D14" s="15">
        <v>169428.9928896561</v>
      </c>
    </row>
    <row r="15" spans="1:4">
      <c r="A15" s="8" t="s">
        <v>82</v>
      </c>
      <c r="B15" s="8" t="s">
        <v>52</v>
      </c>
      <c r="C15" s="8" t="s">
        <v>67</v>
      </c>
      <c r="D15" s="15">
        <v>83534.733980569363</v>
      </c>
    </row>
    <row r="16" spans="1:4">
      <c r="A16" s="8" t="s">
        <v>82</v>
      </c>
      <c r="B16" s="8" t="s">
        <v>54</v>
      </c>
      <c r="C16" s="8" t="s">
        <v>67</v>
      </c>
      <c r="D16" s="15">
        <v>229621.33907881632</v>
      </c>
    </row>
    <row r="17" spans="1:4">
      <c r="A17" s="8" t="s">
        <v>82</v>
      </c>
      <c r="B17" s="8" t="s">
        <v>56</v>
      </c>
      <c r="C17" s="8" t="s">
        <v>67</v>
      </c>
      <c r="D17" s="15">
        <v>77989.635344122187</v>
      </c>
    </row>
    <row r="18" spans="1:4">
      <c r="A18" s="8" t="s">
        <v>82</v>
      </c>
      <c r="B18" s="8" t="s">
        <v>58</v>
      </c>
      <c r="C18" s="8" t="s">
        <v>67</v>
      </c>
      <c r="D18" s="15">
        <v>371008.27639116882</v>
      </c>
    </row>
    <row r="19" spans="1:4">
      <c r="A19" s="8" t="s">
        <v>82</v>
      </c>
      <c r="B19" s="8" t="s">
        <v>60</v>
      </c>
      <c r="C19" s="8" t="s">
        <v>67</v>
      </c>
      <c r="D19" s="15">
        <v>150652.89006300436</v>
      </c>
    </row>
    <row r="20" spans="1:4">
      <c r="A20" s="8" t="s">
        <v>82</v>
      </c>
      <c r="B20" s="8" t="s">
        <v>61</v>
      </c>
      <c r="C20" s="8" t="s">
        <v>67</v>
      </c>
      <c r="D20" s="15">
        <v>196423.89951120739</v>
      </c>
    </row>
    <row r="21" spans="1:4">
      <c r="A21" s="8" t="s">
        <v>82</v>
      </c>
      <c r="B21" s="8" t="s">
        <v>62</v>
      </c>
      <c r="C21" s="8" t="s">
        <v>67</v>
      </c>
      <c r="D21" s="15">
        <v>130367.90394126208</v>
      </c>
    </row>
    <row r="22" spans="1:4">
      <c r="A22" s="8" t="s">
        <v>82</v>
      </c>
      <c r="B22" s="8" t="s">
        <v>63</v>
      </c>
      <c r="C22" s="8" t="s">
        <v>67</v>
      </c>
      <c r="D22" s="15">
        <v>227751.97250520138</v>
      </c>
    </row>
    <row r="23" spans="1:4">
      <c r="A23" s="8" t="s">
        <v>82</v>
      </c>
      <c r="B23" s="8" t="s">
        <v>64</v>
      </c>
      <c r="C23" s="8" t="s">
        <v>67</v>
      </c>
      <c r="D23" s="15">
        <v>220524.00010577278</v>
      </c>
    </row>
    <row r="24" spans="1:4">
      <c r="A24" s="8" t="s">
        <v>82</v>
      </c>
      <c r="B24" s="8" t="s">
        <v>65</v>
      </c>
      <c r="C24" s="8" t="s">
        <v>67</v>
      </c>
      <c r="D24" s="15">
        <v>54086.818835450395</v>
      </c>
    </row>
    <row r="25" spans="1:4">
      <c r="A25" s="8" t="s">
        <v>82</v>
      </c>
      <c r="B25" s="8" t="s">
        <v>66</v>
      </c>
      <c r="C25" s="8" t="s">
        <v>67</v>
      </c>
      <c r="D25" s="15">
        <v>205875.82920374867</v>
      </c>
    </row>
    <row r="26" spans="1:4">
      <c r="A26" s="8" t="s">
        <v>82</v>
      </c>
      <c r="B26" s="8" t="s">
        <v>50</v>
      </c>
      <c r="C26" s="8" t="s">
        <v>71</v>
      </c>
      <c r="D26" s="15">
        <v>688092.6664510339</v>
      </c>
    </row>
    <row r="27" spans="1:4">
      <c r="A27" s="8" t="s">
        <v>82</v>
      </c>
      <c r="B27" s="8" t="s">
        <v>52</v>
      </c>
      <c r="C27" s="8" t="s">
        <v>71</v>
      </c>
      <c r="D27" s="15">
        <v>759691.69696104492</v>
      </c>
    </row>
    <row r="28" spans="1:4">
      <c r="A28" s="8" t="s">
        <v>82</v>
      </c>
      <c r="B28" s="8" t="s">
        <v>54</v>
      </c>
      <c r="C28" s="8" t="s">
        <v>71</v>
      </c>
      <c r="D28" s="15">
        <v>470477.30855810188</v>
      </c>
    </row>
    <row r="29" spans="1:4">
      <c r="A29" s="8" t="s">
        <v>82</v>
      </c>
      <c r="B29" s="8" t="s">
        <v>56</v>
      </c>
      <c r="C29" s="8" t="s">
        <v>71</v>
      </c>
      <c r="D29" s="15">
        <v>884840.77519777056</v>
      </c>
    </row>
    <row r="30" spans="1:4">
      <c r="A30" s="8" t="s">
        <v>82</v>
      </c>
      <c r="B30" s="8" t="s">
        <v>58</v>
      </c>
      <c r="C30" s="8" t="s">
        <v>71</v>
      </c>
      <c r="D30" s="15">
        <v>405693.06761597423</v>
      </c>
    </row>
    <row r="31" spans="1:4">
      <c r="A31" s="8" t="s">
        <v>82</v>
      </c>
      <c r="B31" s="8" t="s">
        <v>60</v>
      </c>
      <c r="C31" s="8" t="s">
        <v>71</v>
      </c>
      <c r="D31" s="15">
        <v>771258.43796244659</v>
      </c>
    </row>
    <row r="32" spans="1:4">
      <c r="A32" s="8" t="s">
        <v>82</v>
      </c>
      <c r="B32" s="8" t="s">
        <v>61</v>
      </c>
      <c r="C32" s="8" t="s">
        <v>71</v>
      </c>
      <c r="D32" s="15">
        <v>834554.6730195483</v>
      </c>
    </row>
    <row r="33" spans="1:4">
      <c r="A33" s="8" t="s">
        <v>82</v>
      </c>
      <c r="B33" s="8" t="s">
        <v>62</v>
      </c>
      <c r="C33" s="8" t="s">
        <v>71</v>
      </c>
      <c r="D33" s="15">
        <v>838822.77632379695</v>
      </c>
    </row>
    <row r="34" spans="1:4">
      <c r="A34" s="8" t="s">
        <v>82</v>
      </c>
      <c r="B34" s="8" t="s">
        <v>63</v>
      </c>
      <c r="C34" s="8" t="s">
        <v>71</v>
      </c>
      <c r="D34" s="15">
        <v>676100.74069443415</v>
      </c>
    </row>
    <row r="35" spans="1:4">
      <c r="A35" s="8" t="s">
        <v>82</v>
      </c>
      <c r="B35" s="8" t="s">
        <v>64</v>
      </c>
      <c r="C35" s="8" t="s">
        <v>71</v>
      </c>
      <c r="D35" s="15">
        <v>401166.53207734134</v>
      </c>
    </row>
    <row r="36" spans="1:4">
      <c r="A36" s="8" t="s">
        <v>82</v>
      </c>
      <c r="B36" s="8" t="s">
        <v>65</v>
      </c>
      <c r="C36" s="8" t="s">
        <v>71</v>
      </c>
      <c r="D36" s="15">
        <v>682006.4344071435</v>
      </c>
    </row>
    <row r="37" spans="1:4">
      <c r="A37" s="8" t="s">
        <v>82</v>
      </c>
      <c r="B37" s="8" t="s">
        <v>66</v>
      </c>
      <c r="C37" s="8" t="s">
        <v>71</v>
      </c>
      <c r="D37" s="15">
        <v>439227.4343221786</v>
      </c>
    </row>
    <row r="38" spans="1:4">
      <c r="A38" s="8" t="s">
        <v>82</v>
      </c>
      <c r="B38" s="8" t="s">
        <v>50</v>
      </c>
      <c r="C38" s="8" t="s">
        <v>72</v>
      </c>
      <c r="D38" s="15">
        <v>56634.491017736305</v>
      </c>
    </row>
    <row r="39" spans="1:4">
      <c r="A39" s="8" t="s">
        <v>82</v>
      </c>
      <c r="B39" s="8" t="s">
        <v>52</v>
      </c>
      <c r="C39" s="8" t="s">
        <v>72</v>
      </c>
      <c r="D39" s="15">
        <v>109593.02260055719</v>
      </c>
    </row>
    <row r="40" spans="1:4">
      <c r="A40" s="8" t="s">
        <v>82</v>
      </c>
      <c r="B40" s="8" t="s">
        <v>54</v>
      </c>
      <c r="C40" s="8" t="s">
        <v>72</v>
      </c>
      <c r="D40" s="15">
        <v>36180.407785955373</v>
      </c>
    </row>
    <row r="41" spans="1:4">
      <c r="A41" s="8" t="s">
        <v>82</v>
      </c>
      <c r="B41" s="8" t="s">
        <v>56</v>
      </c>
      <c r="C41" s="8" t="s">
        <v>72</v>
      </c>
      <c r="D41" s="15">
        <v>31209.581419903909</v>
      </c>
    </row>
    <row r="42" spans="1:4">
      <c r="A42" s="8" t="s">
        <v>82</v>
      </c>
      <c r="B42" s="8" t="s">
        <v>58</v>
      </c>
      <c r="C42" s="8" t="s">
        <v>72</v>
      </c>
      <c r="D42" s="15">
        <v>91013.252855298342</v>
      </c>
    </row>
    <row r="43" spans="1:4">
      <c r="A43" s="8" t="s">
        <v>82</v>
      </c>
      <c r="B43" s="8" t="s">
        <v>60</v>
      </c>
      <c r="C43" s="8" t="s">
        <v>72</v>
      </c>
      <c r="D43" s="15">
        <v>14125.799454928989</v>
      </c>
    </row>
    <row r="44" spans="1:4">
      <c r="A44" s="8" t="s">
        <v>82</v>
      </c>
      <c r="B44" s="8" t="s">
        <v>61</v>
      </c>
      <c r="C44" s="8" t="s">
        <v>72</v>
      </c>
      <c r="D44" s="15">
        <v>48913.953112679781</v>
      </c>
    </row>
    <row r="45" spans="1:4">
      <c r="A45" s="8" t="s">
        <v>82</v>
      </c>
      <c r="B45" s="8" t="s">
        <v>62</v>
      </c>
      <c r="C45" s="8" t="s">
        <v>72</v>
      </c>
      <c r="D45" s="15">
        <v>5700.9993080969489</v>
      </c>
    </row>
    <row r="46" spans="1:4">
      <c r="A46" s="8" t="s">
        <v>82</v>
      </c>
      <c r="B46" s="8" t="s">
        <v>63</v>
      </c>
      <c r="C46" s="8" t="s">
        <v>72</v>
      </c>
      <c r="D46" s="15">
        <v>14479.653667786219</v>
      </c>
    </row>
    <row r="47" spans="1:4">
      <c r="A47" s="8" t="s">
        <v>82</v>
      </c>
      <c r="B47" s="8" t="s">
        <v>64</v>
      </c>
      <c r="C47" s="8" t="s">
        <v>72</v>
      </c>
      <c r="D47" s="15">
        <v>39769.491424249165</v>
      </c>
    </row>
    <row r="48" spans="1:4">
      <c r="A48" s="8" t="s">
        <v>82</v>
      </c>
      <c r="B48" s="8" t="s">
        <v>65</v>
      </c>
      <c r="C48" s="8" t="s">
        <v>72</v>
      </c>
      <c r="D48" s="15">
        <v>4244.3130022013711</v>
      </c>
    </row>
    <row r="49" spans="1:4">
      <c r="A49" s="8" t="s">
        <v>82</v>
      </c>
      <c r="B49" s="8" t="s">
        <v>66</v>
      </c>
      <c r="C49" s="8" t="s">
        <v>72</v>
      </c>
      <c r="D49" s="15">
        <v>42502.230384841998</v>
      </c>
    </row>
    <row r="50" spans="1:4">
      <c r="A50" s="8" t="s">
        <v>83</v>
      </c>
      <c r="B50" s="8" t="s">
        <v>50</v>
      </c>
      <c r="C50" s="8" t="s">
        <v>49</v>
      </c>
      <c r="D50" s="15">
        <v>5447.8237870176927</v>
      </c>
    </row>
    <row r="51" spans="1:4">
      <c r="A51" s="8" t="s">
        <v>83</v>
      </c>
      <c r="B51" s="8" t="s">
        <v>52</v>
      </c>
      <c r="C51" s="8" t="s">
        <v>49</v>
      </c>
      <c r="D51" s="15">
        <v>17192.397735752958</v>
      </c>
    </row>
    <row r="52" spans="1:4">
      <c r="A52" s="8" t="s">
        <v>83</v>
      </c>
      <c r="B52" s="8" t="s">
        <v>54</v>
      </c>
      <c r="C52" s="8" t="s">
        <v>49</v>
      </c>
      <c r="D52" s="15">
        <v>3103.654689882831</v>
      </c>
    </row>
    <row r="53" spans="1:4">
      <c r="A53" s="8" t="s">
        <v>83</v>
      </c>
      <c r="B53" s="8" t="s">
        <v>56</v>
      </c>
      <c r="C53" s="8" t="s">
        <v>49</v>
      </c>
      <c r="D53" s="15">
        <v>2166.5797516147518</v>
      </c>
    </row>
    <row r="54" spans="1:4">
      <c r="A54" s="8" t="s">
        <v>83</v>
      </c>
      <c r="B54" s="8" t="s">
        <v>58</v>
      </c>
      <c r="C54" s="8" t="s">
        <v>49</v>
      </c>
      <c r="D54" s="15">
        <v>28343.291426884618</v>
      </c>
    </row>
    <row r="55" spans="1:4">
      <c r="A55" s="8" t="s">
        <v>83</v>
      </c>
      <c r="B55" s="8" t="s">
        <v>60</v>
      </c>
      <c r="C55" s="8" t="s">
        <v>49</v>
      </c>
      <c r="D55" s="15">
        <v>6311.4924170636423</v>
      </c>
    </row>
    <row r="56" spans="1:4">
      <c r="A56" s="8" t="s">
        <v>83</v>
      </c>
      <c r="B56" s="8" t="s">
        <v>61</v>
      </c>
      <c r="C56" s="8" t="s">
        <v>49</v>
      </c>
      <c r="D56" s="15">
        <v>23854.087347587596</v>
      </c>
    </row>
    <row r="57" spans="1:4">
      <c r="A57" s="8" t="s">
        <v>83</v>
      </c>
      <c r="B57" s="8" t="s">
        <v>62</v>
      </c>
      <c r="C57" s="8" t="s">
        <v>49</v>
      </c>
      <c r="D57" s="15">
        <v>12700.242769592791</v>
      </c>
    </row>
    <row r="58" spans="1:4">
      <c r="A58" s="8" t="s">
        <v>83</v>
      </c>
      <c r="B58" s="8" t="s">
        <v>63</v>
      </c>
      <c r="C58" s="8" t="s">
        <v>49</v>
      </c>
      <c r="D58" s="15">
        <v>3367.0661925806476</v>
      </c>
    </row>
    <row r="59" spans="1:4">
      <c r="A59" s="8" t="s">
        <v>83</v>
      </c>
      <c r="B59" s="8" t="s">
        <v>64</v>
      </c>
      <c r="C59" s="8" t="s">
        <v>49</v>
      </c>
      <c r="D59" s="15">
        <v>2691.5851132317403</v>
      </c>
    </row>
    <row r="60" spans="1:4">
      <c r="A60" s="8" t="s">
        <v>83</v>
      </c>
      <c r="B60" s="8" t="s">
        <v>65</v>
      </c>
      <c r="C60" s="8" t="s">
        <v>49</v>
      </c>
      <c r="D60" s="15">
        <v>3757.3534835478831</v>
      </c>
    </row>
    <row r="61" spans="1:4">
      <c r="A61" s="8" t="s">
        <v>83</v>
      </c>
      <c r="B61" s="8" t="s">
        <v>66</v>
      </c>
      <c r="C61" s="8" t="s">
        <v>49</v>
      </c>
      <c r="D61" s="15">
        <v>3925.3679334412686</v>
      </c>
    </row>
    <row r="62" spans="1:4">
      <c r="A62" s="8" t="s">
        <v>83</v>
      </c>
      <c r="B62" s="8" t="s">
        <v>50</v>
      </c>
      <c r="C62" s="8" t="s">
        <v>67</v>
      </c>
      <c r="D62" s="15">
        <v>985.08547224796564</v>
      </c>
    </row>
    <row r="63" spans="1:4">
      <c r="A63" s="8" t="s">
        <v>83</v>
      </c>
      <c r="B63" s="8" t="s">
        <v>52</v>
      </c>
      <c r="C63" s="8" t="s">
        <v>67</v>
      </c>
      <c r="D63" s="15">
        <v>2083.9361994242877</v>
      </c>
    </row>
    <row r="64" spans="1:4">
      <c r="A64" s="8" t="s">
        <v>83</v>
      </c>
      <c r="B64" s="8" t="s">
        <v>54</v>
      </c>
      <c r="C64" s="8" t="s">
        <v>67</v>
      </c>
      <c r="D64" s="15">
        <v>4742.150816581704</v>
      </c>
    </row>
    <row r="65" spans="1:4">
      <c r="A65" s="8" t="s">
        <v>83</v>
      </c>
      <c r="B65" s="8" t="s">
        <v>56</v>
      </c>
      <c r="C65" s="8" t="s">
        <v>67</v>
      </c>
      <c r="D65" s="15">
        <v>6099.9703458366293</v>
      </c>
    </row>
    <row r="66" spans="1:4">
      <c r="A66" s="8" t="s">
        <v>83</v>
      </c>
      <c r="B66" s="8" t="s">
        <v>58</v>
      </c>
      <c r="C66" s="8" t="s">
        <v>67</v>
      </c>
      <c r="D66" s="15">
        <v>45710.135775983683</v>
      </c>
    </row>
    <row r="67" spans="1:4">
      <c r="A67" s="8" t="s">
        <v>83</v>
      </c>
      <c r="B67" s="8" t="s">
        <v>60</v>
      </c>
      <c r="C67" s="8" t="s">
        <v>67</v>
      </c>
      <c r="D67" s="15">
        <v>686.11718582667572</v>
      </c>
    </row>
    <row r="68" spans="1:4">
      <c r="A68" s="8" t="s">
        <v>83</v>
      </c>
      <c r="B68" s="8" t="s">
        <v>61</v>
      </c>
      <c r="C68" s="8" t="s">
        <v>67</v>
      </c>
      <c r="D68" s="15">
        <v>45048.244811214332</v>
      </c>
    </row>
    <row r="69" spans="1:4">
      <c r="A69" s="8" t="s">
        <v>83</v>
      </c>
      <c r="B69" s="8" t="s">
        <v>62</v>
      </c>
      <c r="C69" s="8" t="s">
        <v>67</v>
      </c>
      <c r="D69" s="15">
        <v>41731.211742054205</v>
      </c>
    </row>
    <row r="70" spans="1:4">
      <c r="A70" s="8" t="s">
        <v>83</v>
      </c>
      <c r="B70" s="8" t="s">
        <v>63</v>
      </c>
      <c r="C70" s="8" t="s">
        <v>67</v>
      </c>
      <c r="D70" s="15">
        <v>8630.4490389737548</v>
      </c>
    </row>
    <row r="71" spans="1:4">
      <c r="A71" s="8" t="s">
        <v>83</v>
      </c>
      <c r="B71" s="8" t="s">
        <v>64</v>
      </c>
      <c r="C71" s="8" t="s">
        <v>67</v>
      </c>
      <c r="D71" s="15">
        <v>6031.4613944358325</v>
      </c>
    </row>
    <row r="72" spans="1:4">
      <c r="A72" s="8" t="s">
        <v>83</v>
      </c>
      <c r="B72" s="8" t="s">
        <v>65</v>
      </c>
      <c r="C72" s="8" t="s">
        <v>67</v>
      </c>
      <c r="D72" s="15">
        <v>19843.737613849513</v>
      </c>
    </row>
    <row r="73" spans="1:4">
      <c r="A73" s="8" t="s">
        <v>83</v>
      </c>
      <c r="B73" s="8" t="s">
        <v>66</v>
      </c>
      <c r="C73" s="8" t="s">
        <v>67</v>
      </c>
      <c r="D73" s="15">
        <v>1119.7872068728589</v>
      </c>
    </row>
    <row r="74" spans="1:4">
      <c r="A74" s="8" t="s">
        <v>83</v>
      </c>
      <c r="B74" s="8" t="s">
        <v>50</v>
      </c>
      <c r="C74" s="8" t="s">
        <v>71</v>
      </c>
      <c r="D74" s="15">
        <v>88297.692558510549</v>
      </c>
    </row>
    <row r="75" spans="1:4">
      <c r="A75" s="8" t="s">
        <v>83</v>
      </c>
      <c r="B75" s="8" t="s">
        <v>52</v>
      </c>
      <c r="C75" s="8" t="s">
        <v>71</v>
      </c>
      <c r="D75" s="15">
        <v>44462.47868252216</v>
      </c>
    </row>
    <row r="76" spans="1:4">
      <c r="A76" s="8" t="s">
        <v>83</v>
      </c>
      <c r="B76" s="8" t="s">
        <v>54</v>
      </c>
      <c r="C76" s="8" t="s">
        <v>71</v>
      </c>
      <c r="D76" s="15">
        <v>121061.01249115785</v>
      </c>
    </row>
    <row r="77" spans="1:4">
      <c r="A77" s="8" t="s">
        <v>83</v>
      </c>
      <c r="B77" s="8" t="s">
        <v>56</v>
      </c>
      <c r="C77" s="8" t="s">
        <v>71</v>
      </c>
      <c r="D77" s="15">
        <v>80755.889975155267</v>
      </c>
    </row>
    <row r="78" spans="1:4">
      <c r="A78" s="8" t="s">
        <v>83</v>
      </c>
      <c r="B78" s="8" t="s">
        <v>58</v>
      </c>
      <c r="C78" s="8" t="s">
        <v>71</v>
      </c>
      <c r="D78" s="15">
        <v>38804.494412376356</v>
      </c>
    </row>
    <row r="79" spans="1:4">
      <c r="A79" s="8" t="s">
        <v>83</v>
      </c>
      <c r="B79" s="8" t="s">
        <v>60</v>
      </c>
      <c r="C79" s="8" t="s">
        <v>71</v>
      </c>
      <c r="D79" s="15">
        <v>105859.73182154872</v>
      </c>
    </row>
    <row r="80" spans="1:4">
      <c r="A80" s="8" t="s">
        <v>83</v>
      </c>
      <c r="B80" s="8" t="s">
        <v>61</v>
      </c>
      <c r="C80" s="8" t="s">
        <v>71</v>
      </c>
      <c r="D80" s="15">
        <v>30969.253716875472</v>
      </c>
    </row>
    <row r="81" spans="1:4">
      <c r="A81" s="8" t="s">
        <v>83</v>
      </c>
      <c r="B81" s="8" t="s">
        <v>62</v>
      </c>
      <c r="C81" s="8" t="s">
        <v>71</v>
      </c>
      <c r="D81" s="15">
        <v>31665.686150825284</v>
      </c>
    </row>
    <row r="82" spans="1:4">
      <c r="A82" s="8" t="s">
        <v>83</v>
      </c>
      <c r="B82" s="8" t="s">
        <v>63</v>
      </c>
      <c r="C82" s="8" t="s">
        <v>71</v>
      </c>
      <c r="D82" s="15">
        <v>104305.51952260558</v>
      </c>
    </row>
    <row r="83" spans="1:4">
      <c r="A83" s="8" t="s">
        <v>83</v>
      </c>
      <c r="B83" s="8" t="s">
        <v>64</v>
      </c>
      <c r="C83" s="8" t="s">
        <v>71</v>
      </c>
      <c r="D83" s="15">
        <v>89177.547719673748</v>
      </c>
    </row>
    <row r="84" spans="1:4">
      <c r="A84" s="8" t="s">
        <v>83</v>
      </c>
      <c r="B84" s="8" t="s">
        <v>65</v>
      </c>
      <c r="C84" s="8" t="s">
        <v>71</v>
      </c>
      <c r="D84" s="15">
        <v>109344.51206487769</v>
      </c>
    </row>
    <row r="85" spans="1:4">
      <c r="A85" s="8" t="s">
        <v>83</v>
      </c>
      <c r="B85" s="8" t="s">
        <v>66</v>
      </c>
      <c r="C85" s="8" t="s">
        <v>71</v>
      </c>
      <c r="D85" s="15">
        <v>86816.064968505918</v>
      </c>
    </row>
    <row r="86" spans="1:4">
      <c r="A86" s="8" t="s">
        <v>83</v>
      </c>
      <c r="B86" s="8" t="s">
        <v>50</v>
      </c>
      <c r="C86" s="8" t="s">
        <v>72</v>
      </c>
      <c r="D86" s="15">
        <v>6943.1865973999711</v>
      </c>
    </row>
    <row r="87" spans="1:4">
      <c r="A87" s="8" t="s">
        <v>83</v>
      </c>
      <c r="B87" s="8" t="s">
        <v>52</v>
      </c>
      <c r="C87" s="8" t="s">
        <v>72</v>
      </c>
      <c r="D87" s="15">
        <v>43128.568568873838</v>
      </c>
    </row>
    <row r="88" spans="1:4">
      <c r="A88" s="8" t="s">
        <v>83</v>
      </c>
      <c r="B88" s="8" t="s">
        <v>54</v>
      </c>
      <c r="C88" s="8" t="s">
        <v>72</v>
      </c>
      <c r="D88" s="15">
        <v>96.326332537107874</v>
      </c>
    </row>
    <row r="89" spans="1:4">
      <c r="A89" s="8" t="s">
        <v>83</v>
      </c>
      <c r="B89" s="8" t="s">
        <v>56</v>
      </c>
      <c r="C89" s="8" t="s">
        <v>72</v>
      </c>
      <c r="D89" s="15">
        <v>1968.3623277487104</v>
      </c>
    </row>
    <row r="90" spans="1:4">
      <c r="A90" s="8" t="s">
        <v>83</v>
      </c>
      <c r="B90" s="8" t="s">
        <v>58</v>
      </c>
      <c r="C90" s="8" t="s">
        <v>72</v>
      </c>
      <c r="D90" s="15">
        <v>1031.9489729903851</v>
      </c>
    </row>
    <row r="91" spans="1:4">
      <c r="A91" s="8" t="s">
        <v>83</v>
      </c>
      <c r="B91" s="8" t="s">
        <v>60</v>
      </c>
      <c r="C91" s="8" t="s">
        <v>72</v>
      </c>
      <c r="D91" s="15">
        <v>213.98866263325118</v>
      </c>
    </row>
    <row r="92" spans="1:4">
      <c r="A92" s="8" t="s">
        <v>83</v>
      </c>
      <c r="B92" s="8" t="s">
        <v>61</v>
      </c>
      <c r="C92" s="8" t="s">
        <v>72</v>
      </c>
      <c r="D92" s="15">
        <v>12258.025798969886</v>
      </c>
    </row>
    <row r="93" spans="1:4">
      <c r="A93" s="8" t="s">
        <v>83</v>
      </c>
      <c r="B93" s="8" t="s">
        <v>62</v>
      </c>
      <c r="C93" s="8" t="s">
        <v>72</v>
      </c>
      <c r="D93" s="15">
        <v>2674.5401665605978</v>
      </c>
    </row>
    <row r="94" spans="1:4">
      <c r="A94" s="8" t="s">
        <v>83</v>
      </c>
      <c r="B94" s="8" t="s">
        <v>63</v>
      </c>
      <c r="C94" s="8" t="s">
        <v>72</v>
      </c>
      <c r="D94" s="15">
        <v>9034.7209840626092</v>
      </c>
    </row>
    <row r="95" spans="1:4">
      <c r="A95" s="8" t="s">
        <v>83</v>
      </c>
      <c r="B95" s="8" t="s">
        <v>64</v>
      </c>
      <c r="C95" s="8" t="s">
        <v>72</v>
      </c>
      <c r="D95" s="15">
        <v>10696.471553522397</v>
      </c>
    </row>
    <row r="96" spans="1:4">
      <c r="A96" s="8" t="s">
        <v>83</v>
      </c>
      <c r="B96" s="8" t="s">
        <v>65</v>
      </c>
      <c r="C96" s="8" t="s">
        <v>72</v>
      </c>
      <c r="D96" s="15">
        <v>1083.7493555066274</v>
      </c>
    </row>
    <row r="97" spans="1:4">
      <c r="A97" s="8" t="s">
        <v>83</v>
      </c>
      <c r="B97" s="8" t="s">
        <v>66</v>
      </c>
      <c r="C97" s="8" t="s">
        <v>72</v>
      </c>
      <c r="D97" s="15">
        <v>18527.368743065825</v>
      </c>
    </row>
    <row r="98" spans="1:4">
      <c r="A98" s="8" t="s">
        <v>84</v>
      </c>
      <c r="B98" s="8" t="s">
        <v>50</v>
      </c>
      <c r="C98" s="8" t="s">
        <v>49</v>
      </c>
      <c r="D98" s="15">
        <v>1573.3951645781392</v>
      </c>
    </row>
    <row r="99" spans="1:4">
      <c r="A99" s="8" t="s">
        <v>84</v>
      </c>
      <c r="B99" s="8" t="s">
        <v>52</v>
      </c>
      <c r="C99" s="8" t="s">
        <v>49</v>
      </c>
      <c r="D99" s="15">
        <v>17400.118263947341</v>
      </c>
    </row>
    <row r="100" spans="1:4">
      <c r="A100" s="8" t="s">
        <v>84</v>
      </c>
      <c r="B100" s="8" t="s">
        <v>54</v>
      </c>
      <c r="C100" s="8" t="s">
        <v>49</v>
      </c>
      <c r="D100" s="15">
        <v>108712.29061807945</v>
      </c>
    </row>
    <row r="101" spans="1:4">
      <c r="A101" s="8" t="s">
        <v>84</v>
      </c>
      <c r="B101" s="8" t="s">
        <v>56</v>
      </c>
      <c r="C101" s="8" t="s">
        <v>49</v>
      </c>
      <c r="D101" s="15">
        <v>35798.808770368341</v>
      </c>
    </row>
    <row r="102" spans="1:4">
      <c r="A102" s="8" t="s">
        <v>84</v>
      </c>
      <c r="B102" s="8" t="s">
        <v>58</v>
      </c>
      <c r="C102" s="8" t="s">
        <v>49</v>
      </c>
      <c r="D102" s="15">
        <v>19434.744375337392</v>
      </c>
    </row>
    <row r="103" spans="1:4">
      <c r="A103" s="8" t="s">
        <v>84</v>
      </c>
      <c r="B103" s="8" t="s">
        <v>60</v>
      </c>
      <c r="C103" s="8" t="s">
        <v>49</v>
      </c>
      <c r="D103" s="15">
        <v>7601.5047470249756</v>
      </c>
    </row>
    <row r="104" spans="1:4">
      <c r="A104" s="8" t="s">
        <v>84</v>
      </c>
      <c r="B104" s="8" t="s">
        <v>61</v>
      </c>
      <c r="C104" s="8" t="s">
        <v>49</v>
      </c>
      <c r="D104" s="15">
        <v>16268.58000151154</v>
      </c>
    </row>
    <row r="105" spans="1:4">
      <c r="A105" s="8" t="s">
        <v>84</v>
      </c>
      <c r="B105" s="8" t="s">
        <v>62</v>
      </c>
      <c r="C105" s="8" t="s">
        <v>49</v>
      </c>
      <c r="D105" s="15">
        <v>19699.070222826616</v>
      </c>
    </row>
    <row r="106" spans="1:4">
      <c r="A106" s="8" t="s">
        <v>84</v>
      </c>
      <c r="B106" s="8" t="s">
        <v>63</v>
      </c>
      <c r="C106" s="8" t="s">
        <v>49</v>
      </c>
      <c r="D106" s="15">
        <v>63161.029180831982</v>
      </c>
    </row>
    <row r="107" spans="1:4">
      <c r="A107" s="8" t="s">
        <v>84</v>
      </c>
      <c r="B107" s="8" t="s">
        <v>64</v>
      </c>
      <c r="C107" s="8" t="s">
        <v>49</v>
      </c>
      <c r="D107" s="15">
        <v>20131.011856527937</v>
      </c>
    </row>
    <row r="108" spans="1:4">
      <c r="A108" s="8" t="s">
        <v>84</v>
      </c>
      <c r="B108" s="8" t="s">
        <v>65</v>
      </c>
      <c r="C108" s="8" t="s">
        <v>49</v>
      </c>
      <c r="D108" s="15">
        <v>18846.734094600808</v>
      </c>
    </row>
    <row r="109" spans="1:4">
      <c r="A109" s="8" t="s">
        <v>84</v>
      </c>
      <c r="B109" s="8" t="s">
        <v>66</v>
      </c>
      <c r="C109" s="8" t="s">
        <v>49</v>
      </c>
      <c r="D109" s="15">
        <v>1835.3394171699126</v>
      </c>
    </row>
    <row r="110" spans="1:4">
      <c r="A110" s="8" t="s">
        <v>84</v>
      </c>
      <c r="B110" s="8" t="s">
        <v>50</v>
      </c>
      <c r="C110" s="8" t="s">
        <v>67</v>
      </c>
      <c r="D110" s="15">
        <v>36015.865343172307</v>
      </c>
    </row>
    <row r="111" spans="1:4">
      <c r="A111" s="8" t="s">
        <v>84</v>
      </c>
      <c r="B111" s="8" t="s">
        <v>52</v>
      </c>
      <c r="C111" s="8" t="s">
        <v>67</v>
      </c>
      <c r="D111" s="15">
        <v>28062.951897845753</v>
      </c>
    </row>
    <row r="112" spans="1:4">
      <c r="A112" s="8" t="s">
        <v>84</v>
      </c>
      <c r="B112" s="8" t="s">
        <v>54</v>
      </c>
      <c r="C112" s="8" t="s">
        <v>67</v>
      </c>
      <c r="D112" s="15">
        <v>7924.6309980252072</v>
      </c>
    </row>
    <row r="113" spans="1:4">
      <c r="A113" s="8" t="s">
        <v>84</v>
      </c>
      <c r="B113" s="8" t="s">
        <v>56</v>
      </c>
      <c r="C113" s="8" t="s">
        <v>67</v>
      </c>
      <c r="D113" s="15">
        <v>1181.6007706191565</v>
      </c>
    </row>
    <row r="114" spans="1:4">
      <c r="A114" s="8" t="s">
        <v>84</v>
      </c>
      <c r="B114" s="8" t="s">
        <v>58</v>
      </c>
      <c r="C114" s="8" t="s">
        <v>67</v>
      </c>
      <c r="D114" s="15">
        <v>15896.709548838449</v>
      </c>
    </row>
    <row r="115" spans="1:4">
      <c r="A115" s="8" t="s">
        <v>84</v>
      </c>
      <c r="B115" s="8" t="s">
        <v>60</v>
      </c>
      <c r="C115" s="8" t="s">
        <v>67</v>
      </c>
      <c r="D115" s="15">
        <v>121166.0708909291</v>
      </c>
    </row>
    <row r="116" spans="1:4">
      <c r="A116" s="8" t="s">
        <v>84</v>
      </c>
      <c r="B116" s="8" t="s">
        <v>61</v>
      </c>
      <c r="C116" s="8" t="s">
        <v>67</v>
      </c>
      <c r="D116" s="15">
        <v>27105.038474700388</v>
      </c>
    </row>
    <row r="117" spans="1:4">
      <c r="A117" s="8" t="s">
        <v>84</v>
      </c>
      <c r="B117" s="8" t="s">
        <v>62</v>
      </c>
      <c r="C117" s="8" t="s">
        <v>67</v>
      </c>
      <c r="D117" s="15">
        <v>32215.728263935765</v>
      </c>
    </row>
    <row r="118" spans="1:4">
      <c r="A118" s="8" t="s">
        <v>84</v>
      </c>
      <c r="B118" s="8" t="s">
        <v>63</v>
      </c>
      <c r="C118" s="8" t="s">
        <v>67</v>
      </c>
      <c r="D118" s="15">
        <v>99936.525048463809</v>
      </c>
    </row>
    <row r="119" spans="1:4">
      <c r="A119" s="8" t="s">
        <v>84</v>
      </c>
      <c r="B119" s="8" t="s">
        <v>64</v>
      </c>
      <c r="C119" s="8" t="s">
        <v>67</v>
      </c>
      <c r="D119" s="15">
        <v>25248.219241150844</v>
      </c>
    </row>
    <row r="120" spans="1:4">
      <c r="A120" s="8" t="s">
        <v>84</v>
      </c>
      <c r="B120" s="8" t="s">
        <v>65</v>
      </c>
      <c r="C120" s="8" t="s">
        <v>67</v>
      </c>
      <c r="D120" s="15">
        <v>24947.28895089334</v>
      </c>
    </row>
    <row r="121" spans="1:4">
      <c r="A121" s="8" t="s">
        <v>84</v>
      </c>
      <c r="B121" s="8" t="s">
        <v>66</v>
      </c>
      <c r="C121" s="8" t="s">
        <v>67</v>
      </c>
      <c r="D121" s="15">
        <v>30589.448708559772</v>
      </c>
    </row>
    <row r="122" spans="1:4">
      <c r="A122" s="8" t="s">
        <v>84</v>
      </c>
      <c r="B122" s="8" t="s">
        <v>50</v>
      </c>
      <c r="C122" s="8" t="s">
        <v>71</v>
      </c>
      <c r="D122" s="15">
        <v>132206.1407413258</v>
      </c>
    </row>
    <row r="123" spans="1:4">
      <c r="A123" s="8" t="s">
        <v>84</v>
      </c>
      <c r="B123" s="8" t="s">
        <v>52</v>
      </c>
      <c r="C123" s="8" t="s">
        <v>71</v>
      </c>
      <c r="D123" s="15">
        <v>100029.36278521454</v>
      </c>
    </row>
    <row r="124" spans="1:4">
      <c r="A124" s="8" t="s">
        <v>84</v>
      </c>
      <c r="B124" s="8" t="s">
        <v>54</v>
      </c>
      <c r="C124" s="8" t="s">
        <v>71</v>
      </c>
      <c r="D124" s="15">
        <v>38724.089669840287</v>
      </c>
    </row>
    <row r="125" spans="1:4">
      <c r="A125" s="8" t="s">
        <v>84</v>
      </c>
      <c r="B125" s="8" t="s">
        <v>56</v>
      </c>
      <c r="C125" s="8" t="s">
        <v>71</v>
      </c>
      <c r="D125" s="15">
        <v>98803.135328149365</v>
      </c>
    </row>
    <row r="126" spans="1:4">
      <c r="A126" s="8" t="s">
        <v>84</v>
      </c>
      <c r="B126" s="8" t="s">
        <v>58</v>
      </c>
      <c r="C126" s="8" t="s">
        <v>71</v>
      </c>
      <c r="D126" s="15">
        <v>113821.59034441663</v>
      </c>
    </row>
    <row r="127" spans="1:4">
      <c r="A127" s="8" t="s">
        <v>84</v>
      </c>
      <c r="B127" s="8" t="s">
        <v>60</v>
      </c>
      <c r="C127" s="8" t="s">
        <v>71</v>
      </c>
      <c r="D127" s="15">
        <v>30297.654772178899</v>
      </c>
    </row>
    <row r="128" spans="1:4">
      <c r="A128" s="8" t="s">
        <v>84</v>
      </c>
      <c r="B128" s="8" t="s">
        <v>61</v>
      </c>
      <c r="C128" s="8" t="s">
        <v>71</v>
      </c>
      <c r="D128" s="15">
        <v>123306.93501105219</v>
      </c>
    </row>
    <row r="129" spans="1:4">
      <c r="A129" s="8" t="s">
        <v>84</v>
      </c>
      <c r="B129" s="8" t="s">
        <v>62</v>
      </c>
      <c r="C129" s="8" t="s">
        <v>71</v>
      </c>
      <c r="D129" s="15">
        <v>105256.43502524984</v>
      </c>
    </row>
    <row r="130" spans="1:4">
      <c r="A130" s="8" t="s">
        <v>84</v>
      </c>
      <c r="B130" s="8" t="s">
        <v>63</v>
      </c>
      <c r="C130" s="8" t="s">
        <v>71</v>
      </c>
      <c r="D130" s="15">
        <v>20790.229212659149</v>
      </c>
    </row>
    <row r="131" spans="1:4">
      <c r="A131" s="8" t="s">
        <v>84</v>
      </c>
      <c r="B131" s="8" t="s">
        <v>64</v>
      </c>
      <c r="C131" s="8" t="s">
        <v>71</v>
      </c>
      <c r="D131" s="15">
        <v>114060.93790160341</v>
      </c>
    </row>
    <row r="132" spans="1:4">
      <c r="A132" s="8" t="s">
        <v>84</v>
      </c>
      <c r="B132" s="8" t="s">
        <v>65</v>
      </c>
      <c r="C132" s="8" t="s">
        <v>71</v>
      </c>
      <c r="D132" s="15">
        <v>112714.00311046858</v>
      </c>
    </row>
    <row r="133" spans="1:4">
      <c r="A133" s="8" t="s">
        <v>84</v>
      </c>
      <c r="B133" s="8" t="s">
        <v>66</v>
      </c>
      <c r="C133" s="8" t="s">
        <v>71</v>
      </c>
      <c r="D133" s="15">
        <v>96250.871268486182</v>
      </c>
    </row>
    <row r="134" spans="1:4">
      <c r="A134" s="8" t="s">
        <v>84</v>
      </c>
      <c r="B134" s="8" t="s">
        <v>50</v>
      </c>
      <c r="C134" s="8" t="s">
        <v>72</v>
      </c>
      <c r="D134" s="15">
        <v>195.51845873850931</v>
      </c>
    </row>
    <row r="135" spans="1:4">
      <c r="A135" s="8" t="s">
        <v>84</v>
      </c>
      <c r="B135" s="8" t="s">
        <v>52</v>
      </c>
      <c r="C135" s="8" t="s">
        <v>72</v>
      </c>
      <c r="D135" s="15">
        <v>1038.451445181679</v>
      </c>
    </row>
    <row r="136" spans="1:4">
      <c r="A136" s="8" t="s">
        <v>84</v>
      </c>
      <c r="B136" s="8" t="s">
        <v>54</v>
      </c>
      <c r="C136" s="8" t="s">
        <v>72</v>
      </c>
      <c r="D136" s="15">
        <v>288.65607310076501</v>
      </c>
    </row>
    <row r="137" spans="1:4">
      <c r="A137" s="8" t="s">
        <v>84</v>
      </c>
      <c r="B137" s="8" t="s">
        <v>56</v>
      </c>
      <c r="C137" s="8" t="s">
        <v>72</v>
      </c>
      <c r="D137" s="15">
        <v>55.662629834619636</v>
      </c>
    </row>
    <row r="138" spans="1:4">
      <c r="A138" s="8" t="s">
        <v>84</v>
      </c>
      <c r="B138" s="8" t="s">
        <v>58</v>
      </c>
      <c r="C138" s="8" t="s">
        <v>72</v>
      </c>
      <c r="D138" s="15">
        <v>637.13862668395234</v>
      </c>
    </row>
    <row r="139" spans="1:4">
      <c r="A139" s="8" t="s">
        <v>84</v>
      </c>
      <c r="B139" s="8" t="s">
        <v>60</v>
      </c>
      <c r="C139" s="8" t="s">
        <v>72</v>
      </c>
      <c r="D139" s="15">
        <v>7786.7565720094863</v>
      </c>
    </row>
    <row r="140" spans="1:4">
      <c r="A140" s="8" t="s">
        <v>84</v>
      </c>
      <c r="B140" s="8" t="s">
        <v>61</v>
      </c>
      <c r="C140" s="8" t="s">
        <v>72</v>
      </c>
      <c r="D140" s="15">
        <v>1762.8383613840065</v>
      </c>
    </row>
    <row r="141" spans="1:4">
      <c r="A141" s="8" t="s">
        <v>84</v>
      </c>
      <c r="B141" s="8" t="s">
        <v>62</v>
      </c>
      <c r="C141" s="8" t="s">
        <v>72</v>
      </c>
      <c r="D141" s="15">
        <v>1035.863053605264</v>
      </c>
    </row>
    <row r="142" spans="1:4">
      <c r="A142" s="8" t="s">
        <v>84</v>
      </c>
      <c r="B142" s="8" t="s">
        <v>63</v>
      </c>
      <c r="C142" s="8" t="s">
        <v>72</v>
      </c>
      <c r="D142" s="15">
        <v>386.211768521355</v>
      </c>
    </row>
    <row r="143" spans="1:4">
      <c r="A143" s="8" t="s">
        <v>84</v>
      </c>
      <c r="B143" s="8" t="s">
        <v>64</v>
      </c>
      <c r="C143" s="8" t="s">
        <v>72</v>
      </c>
      <c r="D143" s="15">
        <v>63.103035209443156</v>
      </c>
    </row>
    <row r="144" spans="1:4">
      <c r="A144" s="8" t="s">
        <v>84</v>
      </c>
      <c r="B144" s="8" t="s">
        <v>65</v>
      </c>
      <c r="C144" s="8" t="s">
        <v>72</v>
      </c>
      <c r="D144" s="15">
        <v>2350.3322983121243</v>
      </c>
    </row>
    <row r="145" spans="1:4">
      <c r="A145" s="8" t="s">
        <v>84</v>
      </c>
      <c r="B145" s="8" t="s">
        <v>66</v>
      </c>
      <c r="C145" s="8" t="s">
        <v>72</v>
      </c>
      <c r="D145" s="15">
        <v>21.038456829314061</v>
      </c>
    </row>
    <row r="146" spans="1:4">
      <c r="A146" s="8" t="s">
        <v>85</v>
      </c>
      <c r="B146" s="8" t="s">
        <v>50</v>
      </c>
      <c r="C146" s="8" t="s">
        <v>49</v>
      </c>
      <c r="D146" s="15">
        <v>21399.085556823742</v>
      </c>
    </row>
    <row r="147" spans="1:4">
      <c r="A147" s="8" t="s">
        <v>85</v>
      </c>
      <c r="B147" s="8" t="s">
        <v>52</v>
      </c>
      <c r="C147" s="8" t="s">
        <v>49</v>
      </c>
      <c r="D147" s="15">
        <v>21858.770379494235</v>
      </c>
    </row>
    <row r="148" spans="1:4">
      <c r="A148" s="8" t="s">
        <v>85</v>
      </c>
      <c r="B148" s="8" t="s">
        <v>54</v>
      </c>
      <c r="C148" s="8" t="s">
        <v>49</v>
      </c>
      <c r="D148" s="15">
        <v>89461.377180964715</v>
      </c>
    </row>
    <row r="149" spans="1:4">
      <c r="A149" s="8" t="s">
        <v>85</v>
      </c>
      <c r="B149" s="8" t="s">
        <v>56</v>
      </c>
      <c r="C149" s="8" t="s">
        <v>49</v>
      </c>
      <c r="D149" s="15">
        <v>3029.3947133829461</v>
      </c>
    </row>
    <row r="150" spans="1:4">
      <c r="A150" s="8" t="s">
        <v>85</v>
      </c>
      <c r="B150" s="8" t="s">
        <v>58</v>
      </c>
      <c r="C150" s="8" t="s">
        <v>49</v>
      </c>
      <c r="D150" s="15">
        <v>8253.3173829549796</v>
      </c>
    </row>
    <row r="151" spans="1:4">
      <c r="A151" s="8" t="s">
        <v>85</v>
      </c>
      <c r="B151" s="8" t="s">
        <v>60</v>
      </c>
      <c r="C151" s="8" t="s">
        <v>49</v>
      </c>
      <c r="D151" s="15">
        <v>208287.29812819429</v>
      </c>
    </row>
    <row r="152" spans="1:4">
      <c r="A152" s="8" t="s">
        <v>85</v>
      </c>
      <c r="B152" s="8" t="s">
        <v>61</v>
      </c>
      <c r="C152" s="8" t="s">
        <v>49</v>
      </c>
      <c r="D152" s="15">
        <v>2050.5540929246363</v>
      </c>
    </row>
    <row r="153" spans="1:4">
      <c r="A153" s="8" t="s">
        <v>85</v>
      </c>
      <c r="B153" s="8" t="s">
        <v>62</v>
      </c>
      <c r="C153" s="8" t="s">
        <v>49</v>
      </c>
      <c r="D153" s="15">
        <v>23173.296282153249</v>
      </c>
    </row>
    <row r="154" spans="1:4">
      <c r="A154" s="8" t="s">
        <v>85</v>
      </c>
      <c r="B154" s="8" t="s">
        <v>63</v>
      </c>
      <c r="C154" s="8" t="s">
        <v>49</v>
      </c>
      <c r="D154" s="15">
        <v>48524.957744683663</v>
      </c>
    </row>
    <row r="155" spans="1:4">
      <c r="A155" s="8" t="s">
        <v>85</v>
      </c>
      <c r="B155" s="8" t="s">
        <v>64</v>
      </c>
      <c r="C155" s="8" t="s">
        <v>49</v>
      </c>
      <c r="D155" s="15">
        <v>84481.093177226518</v>
      </c>
    </row>
    <row r="156" spans="1:4">
      <c r="A156" s="8" t="s">
        <v>85</v>
      </c>
      <c r="B156" s="8" t="s">
        <v>65</v>
      </c>
      <c r="C156" s="8" t="s">
        <v>49</v>
      </c>
      <c r="D156" s="15">
        <v>33872.144991807618</v>
      </c>
    </row>
    <row r="157" spans="1:4">
      <c r="A157" s="8" t="s">
        <v>85</v>
      </c>
      <c r="B157" s="8" t="s">
        <v>66</v>
      </c>
      <c r="C157" s="8" t="s">
        <v>49</v>
      </c>
      <c r="D157" s="15">
        <v>66434.704111602536</v>
      </c>
    </row>
    <row r="158" spans="1:4">
      <c r="A158" s="8" t="s">
        <v>85</v>
      </c>
      <c r="B158" s="8" t="s">
        <v>50</v>
      </c>
      <c r="C158" s="8" t="s">
        <v>67</v>
      </c>
      <c r="D158" s="15">
        <v>77417.108809799684</v>
      </c>
    </row>
    <row r="159" spans="1:4">
      <c r="A159" s="8" t="s">
        <v>85</v>
      </c>
      <c r="B159" s="8" t="s">
        <v>52</v>
      </c>
      <c r="C159" s="8" t="s">
        <v>67</v>
      </c>
      <c r="D159" s="15">
        <v>3340.2743459625467</v>
      </c>
    </row>
    <row r="160" spans="1:4">
      <c r="A160" s="8" t="s">
        <v>85</v>
      </c>
      <c r="B160" s="8" t="s">
        <v>54</v>
      </c>
      <c r="C160" s="8" t="s">
        <v>67</v>
      </c>
      <c r="D160" s="15">
        <v>195407.82362630882</v>
      </c>
    </row>
    <row r="161" spans="1:4">
      <c r="A161" s="8" t="s">
        <v>85</v>
      </c>
      <c r="B161" s="8" t="s">
        <v>56</v>
      </c>
      <c r="C161" s="8" t="s">
        <v>67</v>
      </c>
      <c r="D161" s="15">
        <v>4782.7665219460378</v>
      </c>
    </row>
    <row r="162" spans="1:4">
      <c r="A162" s="8" t="s">
        <v>85</v>
      </c>
      <c r="B162" s="8" t="s">
        <v>58</v>
      </c>
      <c r="C162" s="8" t="s">
        <v>67</v>
      </c>
      <c r="D162" s="15">
        <v>284489.31582436134</v>
      </c>
    </row>
    <row r="163" spans="1:4">
      <c r="A163" s="8" t="s">
        <v>85</v>
      </c>
      <c r="B163" s="8" t="s">
        <v>60</v>
      </c>
      <c r="C163" s="8" t="s">
        <v>67</v>
      </c>
      <c r="D163" s="15">
        <v>23081.060383318923</v>
      </c>
    </row>
    <row r="164" spans="1:4">
      <c r="A164" s="8" t="s">
        <v>85</v>
      </c>
      <c r="B164" s="8" t="s">
        <v>61</v>
      </c>
      <c r="C164" s="8" t="s">
        <v>67</v>
      </c>
      <c r="D164" s="15">
        <v>72864.275522240569</v>
      </c>
    </row>
    <row r="165" spans="1:4">
      <c r="A165" s="8" t="s">
        <v>85</v>
      </c>
      <c r="B165" s="8" t="s">
        <v>62</v>
      </c>
      <c r="C165" s="8" t="s">
        <v>67</v>
      </c>
      <c r="D165" s="15">
        <v>51945.830527197766</v>
      </c>
    </row>
    <row r="166" spans="1:4">
      <c r="A166" s="8" t="s">
        <v>85</v>
      </c>
      <c r="B166" s="8" t="s">
        <v>63</v>
      </c>
      <c r="C166" s="8" t="s">
        <v>67</v>
      </c>
      <c r="D166" s="15">
        <v>90569.482357803499</v>
      </c>
    </row>
    <row r="167" spans="1:4">
      <c r="A167" s="8" t="s">
        <v>85</v>
      </c>
      <c r="B167" s="8" t="s">
        <v>64</v>
      </c>
      <c r="C167" s="8" t="s">
        <v>67</v>
      </c>
      <c r="D167" s="15">
        <v>150596.02890093514</v>
      </c>
    </row>
    <row r="168" spans="1:4">
      <c r="A168" s="8" t="s">
        <v>85</v>
      </c>
      <c r="B168" s="8" t="s">
        <v>65</v>
      </c>
      <c r="C168" s="8" t="s">
        <v>67</v>
      </c>
      <c r="D168" s="15">
        <v>5449.9873398300742</v>
      </c>
    </row>
    <row r="169" spans="1:4">
      <c r="A169" s="8" t="s">
        <v>85</v>
      </c>
      <c r="B169" s="8" t="s">
        <v>66</v>
      </c>
      <c r="C169" s="8" t="s">
        <v>67</v>
      </c>
      <c r="D169" s="15">
        <v>126952.49975240065</v>
      </c>
    </row>
    <row r="170" spans="1:4">
      <c r="A170" s="8" t="s">
        <v>85</v>
      </c>
      <c r="B170" s="8" t="s">
        <v>50</v>
      </c>
      <c r="C170" s="8" t="s">
        <v>71</v>
      </c>
      <c r="D170" s="15">
        <v>209142.19754890681</v>
      </c>
    </row>
    <row r="171" spans="1:4">
      <c r="A171" s="8" t="s">
        <v>85</v>
      </c>
      <c r="B171" s="8" t="s">
        <v>52</v>
      </c>
      <c r="C171" s="8" t="s">
        <v>71</v>
      </c>
      <c r="D171" s="15">
        <v>308626.33952292468</v>
      </c>
    </row>
    <row r="172" spans="1:4">
      <c r="A172" s="8" t="s">
        <v>85</v>
      </c>
      <c r="B172" s="8" t="s">
        <v>54</v>
      </c>
      <c r="C172" s="8" t="s">
        <v>71</v>
      </c>
      <c r="D172" s="15">
        <v>54974.318320046099</v>
      </c>
    </row>
    <row r="173" spans="1:4">
      <c r="A173" s="8" t="s">
        <v>85</v>
      </c>
      <c r="B173" s="8" t="s">
        <v>56</v>
      </c>
      <c r="C173" s="8" t="s">
        <v>71</v>
      </c>
      <c r="D173" s="15">
        <v>301340.30472382595</v>
      </c>
    </row>
    <row r="174" spans="1:4">
      <c r="A174" s="8" t="s">
        <v>85</v>
      </c>
      <c r="B174" s="8" t="s">
        <v>58</v>
      </c>
      <c r="C174" s="8" t="s">
        <v>71</v>
      </c>
      <c r="D174" s="15">
        <v>74306.860899713996</v>
      </c>
    </row>
    <row r="175" spans="1:4">
      <c r="A175" s="8" t="s">
        <v>85</v>
      </c>
      <c r="B175" s="8" t="s">
        <v>60</v>
      </c>
      <c r="C175" s="8" t="s">
        <v>71</v>
      </c>
      <c r="D175" s="15">
        <v>108053.13670469512</v>
      </c>
    </row>
    <row r="176" spans="1:4">
      <c r="A176" s="8" t="s">
        <v>85</v>
      </c>
      <c r="B176" s="8" t="s">
        <v>61</v>
      </c>
      <c r="C176" s="8" t="s">
        <v>71</v>
      </c>
      <c r="D176" s="15">
        <v>302472.25156226259</v>
      </c>
    </row>
    <row r="177" spans="1:4">
      <c r="A177" s="8" t="s">
        <v>85</v>
      </c>
      <c r="B177" s="8" t="s">
        <v>62</v>
      </c>
      <c r="C177" s="8" t="s">
        <v>71</v>
      </c>
      <c r="D177" s="15">
        <v>241606.77923712344</v>
      </c>
    </row>
    <row r="178" spans="1:4">
      <c r="A178" s="8" t="s">
        <v>85</v>
      </c>
      <c r="B178" s="8" t="s">
        <v>63</v>
      </c>
      <c r="C178" s="8" t="s">
        <v>71</v>
      </c>
      <c r="D178" s="15">
        <v>192731.28944474627</v>
      </c>
    </row>
    <row r="179" spans="1:4">
      <c r="A179" s="8" t="s">
        <v>85</v>
      </c>
      <c r="B179" s="8" t="s">
        <v>64</v>
      </c>
      <c r="C179" s="8" t="s">
        <v>71</v>
      </c>
      <c r="D179" s="15">
        <v>26159.128306694343</v>
      </c>
    </row>
    <row r="180" spans="1:4">
      <c r="A180" s="8" t="s">
        <v>85</v>
      </c>
      <c r="B180" s="8" t="s">
        <v>65</v>
      </c>
      <c r="C180" s="8" t="s">
        <v>71</v>
      </c>
      <c r="D180" s="15">
        <v>180815.18392883716</v>
      </c>
    </row>
    <row r="181" spans="1:4">
      <c r="A181" s="8" t="s">
        <v>85</v>
      </c>
      <c r="B181" s="8" t="s">
        <v>66</v>
      </c>
      <c r="C181" s="8" t="s">
        <v>71</v>
      </c>
      <c r="D181" s="15">
        <v>18222.385151586375</v>
      </c>
    </row>
    <row r="182" spans="1:4">
      <c r="A182" s="8" t="s">
        <v>85</v>
      </c>
      <c r="B182" s="8" t="s">
        <v>50</v>
      </c>
      <c r="C182" s="8" t="s">
        <v>72</v>
      </c>
      <c r="D182" s="15">
        <v>35.205997707931957</v>
      </c>
    </row>
    <row r="183" spans="1:4">
      <c r="A183" s="8" t="s">
        <v>85</v>
      </c>
      <c r="B183" s="8" t="s">
        <v>52</v>
      </c>
      <c r="C183" s="8" t="s">
        <v>72</v>
      </c>
      <c r="D183" s="15">
        <v>0</v>
      </c>
    </row>
    <row r="184" spans="1:4">
      <c r="A184" s="8" t="s">
        <v>85</v>
      </c>
      <c r="B184" s="8" t="s">
        <v>54</v>
      </c>
      <c r="C184" s="8" t="s">
        <v>72</v>
      </c>
      <c r="D184" s="15">
        <v>1234.6809377293132</v>
      </c>
    </row>
    <row r="185" spans="1:4">
      <c r="A185" s="8" t="s">
        <v>85</v>
      </c>
      <c r="B185" s="8" t="s">
        <v>56</v>
      </c>
      <c r="C185" s="8" t="s">
        <v>72</v>
      </c>
      <c r="D185" s="15">
        <v>3120.5389507654127</v>
      </c>
    </row>
    <row r="186" spans="1:4">
      <c r="A186" s="8" t="s">
        <v>85</v>
      </c>
      <c r="B186" s="8" t="s">
        <v>58</v>
      </c>
      <c r="C186" s="8" t="s">
        <v>72</v>
      </c>
      <c r="D186" s="15">
        <v>249.14991345007283</v>
      </c>
    </row>
    <row r="187" spans="1:4">
      <c r="A187" s="8" t="s">
        <v>85</v>
      </c>
      <c r="B187" s="8" t="s">
        <v>60</v>
      </c>
      <c r="C187" s="8" t="s">
        <v>72</v>
      </c>
      <c r="D187" s="15">
        <v>0</v>
      </c>
    </row>
    <row r="188" spans="1:4">
      <c r="A188" s="8" t="s">
        <v>85</v>
      </c>
      <c r="B188" s="8" t="s">
        <v>61</v>
      </c>
      <c r="C188" s="8" t="s">
        <v>72</v>
      </c>
      <c r="D188" s="15">
        <v>1562.1810493346534</v>
      </c>
    </row>
    <row r="189" spans="1:4">
      <c r="A189" s="8" t="s">
        <v>85</v>
      </c>
      <c r="B189" s="8" t="s">
        <v>62</v>
      </c>
      <c r="C189" s="8" t="s">
        <v>72</v>
      </c>
      <c r="D189" s="15">
        <v>530.68212339188062</v>
      </c>
    </row>
    <row r="190" spans="1:4">
      <c r="A190" s="8" t="s">
        <v>85</v>
      </c>
      <c r="B190" s="8" t="s">
        <v>63</v>
      </c>
      <c r="C190" s="8" t="s">
        <v>72</v>
      </c>
      <c r="D190" s="15">
        <v>629.30036386215909</v>
      </c>
    </row>
    <row r="191" spans="1:4">
      <c r="A191" s="8" t="s">
        <v>85</v>
      </c>
      <c r="B191" s="8" t="s">
        <v>64</v>
      </c>
      <c r="C191" s="8" t="s">
        <v>72</v>
      </c>
      <c r="D191" s="15">
        <v>86.370528398870604</v>
      </c>
    </row>
    <row r="192" spans="1:4">
      <c r="A192" s="8" t="s">
        <v>85</v>
      </c>
      <c r="B192" s="8" t="s">
        <v>65</v>
      </c>
      <c r="C192" s="8" t="s">
        <v>72</v>
      </c>
      <c r="D192" s="15">
        <v>32.747646808075913</v>
      </c>
    </row>
    <row r="193" spans="1:4">
      <c r="A193" s="8" t="s">
        <v>85</v>
      </c>
      <c r="B193" s="8" t="s">
        <v>66</v>
      </c>
      <c r="C193" s="8" t="s">
        <v>72</v>
      </c>
      <c r="D193" s="15">
        <v>7393.5617828651175</v>
      </c>
    </row>
    <row r="194" spans="1:4">
      <c r="A194" s="8" t="s">
        <v>86</v>
      </c>
      <c r="B194" s="8" t="s">
        <v>50</v>
      </c>
      <c r="C194" s="8" t="s">
        <v>49</v>
      </c>
      <c r="D194" s="15">
        <v>46055.549355963209</v>
      </c>
    </row>
    <row r="195" spans="1:4">
      <c r="A195" s="8" t="s">
        <v>86</v>
      </c>
      <c r="B195" s="8" t="s">
        <v>52</v>
      </c>
      <c r="C195" s="8" t="s">
        <v>49</v>
      </c>
      <c r="D195" s="15">
        <v>36889.593801527335</v>
      </c>
    </row>
    <row r="196" spans="1:4">
      <c r="A196" s="8" t="s">
        <v>86</v>
      </c>
      <c r="B196" s="8" t="s">
        <v>54</v>
      </c>
      <c r="C196" s="8" t="s">
        <v>49</v>
      </c>
      <c r="D196" s="15">
        <v>295258.40542882879</v>
      </c>
    </row>
    <row r="197" spans="1:4">
      <c r="A197" s="8" t="s">
        <v>86</v>
      </c>
      <c r="B197" s="8" t="s">
        <v>56</v>
      </c>
      <c r="C197" s="8" t="s">
        <v>49</v>
      </c>
      <c r="D197" s="15">
        <v>70604.416839791898</v>
      </c>
    </row>
    <row r="198" spans="1:4">
      <c r="A198" s="8" t="s">
        <v>86</v>
      </c>
      <c r="B198" s="8" t="s">
        <v>58</v>
      </c>
      <c r="C198" s="8" t="s">
        <v>49</v>
      </c>
      <c r="D198" s="15">
        <v>176397.40603674835</v>
      </c>
    </row>
    <row r="199" spans="1:4">
      <c r="A199" s="8" t="s">
        <v>86</v>
      </c>
      <c r="B199" s="8" t="s">
        <v>60</v>
      </c>
      <c r="C199" s="8" t="s">
        <v>49</v>
      </c>
      <c r="D199" s="15">
        <v>70786.869019486927</v>
      </c>
    </row>
    <row r="200" spans="1:4">
      <c r="A200" s="8" t="s">
        <v>86</v>
      </c>
      <c r="B200" s="8" t="s">
        <v>61</v>
      </c>
      <c r="C200" s="8" t="s">
        <v>49</v>
      </c>
      <c r="D200" s="15">
        <v>52772.448617598988</v>
      </c>
    </row>
    <row r="201" spans="1:4">
      <c r="A201" s="8" t="s">
        <v>86</v>
      </c>
      <c r="B201" s="8" t="s">
        <v>62</v>
      </c>
      <c r="C201" s="8" t="s">
        <v>49</v>
      </c>
      <c r="D201" s="15">
        <v>62792.561168152781</v>
      </c>
    </row>
    <row r="202" spans="1:4">
      <c r="A202" s="8" t="s">
        <v>86</v>
      </c>
      <c r="B202" s="8" t="s">
        <v>63</v>
      </c>
      <c r="C202" s="8" t="s">
        <v>49</v>
      </c>
      <c r="D202" s="15">
        <v>46258.749717638966</v>
      </c>
    </row>
    <row r="203" spans="1:4">
      <c r="A203" s="8" t="s">
        <v>86</v>
      </c>
      <c r="B203" s="8" t="s">
        <v>64</v>
      </c>
      <c r="C203" s="8" t="s">
        <v>49</v>
      </c>
      <c r="D203" s="15">
        <v>33562.515781263224</v>
      </c>
    </row>
    <row r="204" spans="1:4">
      <c r="A204" s="8" t="s">
        <v>86</v>
      </c>
      <c r="B204" s="8" t="s">
        <v>65</v>
      </c>
      <c r="C204" s="8" t="s">
        <v>49</v>
      </c>
      <c r="D204" s="15">
        <v>2336.2921244857666</v>
      </c>
    </row>
    <row r="205" spans="1:4">
      <c r="A205" s="8" t="s">
        <v>86</v>
      </c>
      <c r="B205" s="8" t="s">
        <v>66</v>
      </c>
      <c r="C205" s="8" t="s">
        <v>49</v>
      </c>
      <c r="D205" s="15">
        <v>3330.0082295369903</v>
      </c>
    </row>
    <row r="206" spans="1:4">
      <c r="A206" s="8" t="s">
        <v>86</v>
      </c>
      <c r="B206" s="8" t="s">
        <v>50</v>
      </c>
      <c r="C206" s="8" t="s">
        <v>67</v>
      </c>
      <c r="D206" s="15">
        <v>55010.933264436128</v>
      </c>
    </row>
    <row r="207" spans="1:4">
      <c r="A207" s="8" t="s">
        <v>86</v>
      </c>
      <c r="B207" s="8" t="s">
        <v>52</v>
      </c>
      <c r="C207" s="8" t="s">
        <v>67</v>
      </c>
      <c r="D207" s="15">
        <v>50047.571537336778</v>
      </c>
    </row>
    <row r="208" spans="1:4">
      <c r="A208" s="8" t="s">
        <v>86</v>
      </c>
      <c r="B208" s="8" t="s">
        <v>54</v>
      </c>
      <c r="C208" s="8" t="s">
        <v>67</v>
      </c>
      <c r="D208" s="15">
        <v>21546.733637900579</v>
      </c>
    </row>
    <row r="209" spans="1:4">
      <c r="A209" s="8" t="s">
        <v>86</v>
      </c>
      <c r="B209" s="8" t="s">
        <v>56</v>
      </c>
      <c r="C209" s="8" t="s">
        <v>67</v>
      </c>
      <c r="D209" s="15">
        <v>65925.297705720368</v>
      </c>
    </row>
    <row r="210" spans="1:4">
      <c r="A210" s="8" t="s">
        <v>86</v>
      </c>
      <c r="B210" s="8" t="s">
        <v>58</v>
      </c>
      <c r="C210" s="8" t="s">
        <v>67</v>
      </c>
      <c r="D210" s="15">
        <v>24912.115241985386</v>
      </c>
    </row>
    <row r="211" spans="1:4">
      <c r="A211" s="8" t="s">
        <v>86</v>
      </c>
      <c r="B211" s="8" t="s">
        <v>60</v>
      </c>
      <c r="C211" s="8" t="s">
        <v>67</v>
      </c>
      <c r="D211" s="15">
        <v>5678.6672603536881</v>
      </c>
    </row>
    <row r="212" spans="1:4">
      <c r="A212" s="8" t="s">
        <v>86</v>
      </c>
      <c r="B212" s="8" t="s">
        <v>61</v>
      </c>
      <c r="C212" s="8" t="s">
        <v>67</v>
      </c>
      <c r="D212" s="15">
        <v>51406.340703052083</v>
      </c>
    </row>
    <row r="213" spans="1:4">
      <c r="A213" s="8" t="s">
        <v>86</v>
      </c>
      <c r="B213" s="8" t="s">
        <v>62</v>
      </c>
      <c r="C213" s="8" t="s">
        <v>67</v>
      </c>
      <c r="D213" s="15">
        <v>4475.1334080743327</v>
      </c>
    </row>
    <row r="214" spans="1:4">
      <c r="A214" s="8" t="s">
        <v>86</v>
      </c>
      <c r="B214" s="8" t="s">
        <v>63</v>
      </c>
      <c r="C214" s="8" t="s">
        <v>67</v>
      </c>
      <c r="D214" s="15">
        <v>28615.51605996033</v>
      </c>
    </row>
    <row r="215" spans="1:4">
      <c r="A215" s="8" t="s">
        <v>86</v>
      </c>
      <c r="B215" s="8" t="s">
        <v>64</v>
      </c>
      <c r="C215" s="8" t="s">
        <v>67</v>
      </c>
      <c r="D215" s="15">
        <v>38648.290569250959</v>
      </c>
    </row>
    <row r="216" spans="1:4">
      <c r="A216" s="8" t="s">
        <v>86</v>
      </c>
      <c r="B216" s="8" t="s">
        <v>65</v>
      </c>
      <c r="C216" s="8" t="s">
        <v>67</v>
      </c>
      <c r="D216" s="15">
        <v>3845.8049308774653</v>
      </c>
    </row>
    <row r="217" spans="1:4">
      <c r="A217" s="8" t="s">
        <v>86</v>
      </c>
      <c r="B217" s="8" t="s">
        <v>66</v>
      </c>
      <c r="C217" s="8" t="s">
        <v>67</v>
      </c>
      <c r="D217" s="15">
        <v>47214.093535915395</v>
      </c>
    </row>
    <row r="218" spans="1:4">
      <c r="A218" s="8" t="s">
        <v>86</v>
      </c>
      <c r="B218" s="8" t="s">
        <v>50</v>
      </c>
      <c r="C218" s="8" t="s">
        <v>71</v>
      </c>
      <c r="D218" s="15">
        <v>208752.38800392189</v>
      </c>
    </row>
    <row r="219" spans="1:4">
      <c r="A219" s="8" t="s">
        <v>86</v>
      </c>
      <c r="B219" s="8" t="s">
        <v>52</v>
      </c>
      <c r="C219" s="8" t="s">
        <v>71</v>
      </c>
      <c r="D219" s="15">
        <v>208887.8138532516</v>
      </c>
    </row>
    <row r="220" spans="1:4">
      <c r="A220" s="8" t="s">
        <v>86</v>
      </c>
      <c r="B220" s="8" t="s">
        <v>54</v>
      </c>
      <c r="C220" s="8" t="s">
        <v>71</v>
      </c>
      <c r="D220" s="15">
        <v>73140.081480870707</v>
      </c>
    </row>
    <row r="221" spans="1:4">
      <c r="A221" s="8" t="s">
        <v>86</v>
      </c>
      <c r="B221" s="8" t="s">
        <v>56</v>
      </c>
      <c r="C221" s="8" t="s">
        <v>71</v>
      </c>
      <c r="D221" s="15">
        <v>216880.21933761449</v>
      </c>
    </row>
    <row r="222" spans="1:4">
      <c r="A222" s="8" t="s">
        <v>86</v>
      </c>
      <c r="B222" s="8" t="s">
        <v>58</v>
      </c>
      <c r="C222" s="8" t="s">
        <v>71</v>
      </c>
      <c r="D222" s="15">
        <v>85783.05932930157</v>
      </c>
    </row>
    <row r="223" spans="1:4">
      <c r="A223" s="8" t="s">
        <v>86</v>
      </c>
      <c r="B223" s="8" t="s">
        <v>60</v>
      </c>
      <c r="C223" s="8" t="s">
        <v>71</v>
      </c>
      <c r="D223" s="15">
        <v>256426.58871092464</v>
      </c>
    </row>
    <row r="224" spans="1:4">
      <c r="A224" s="8" t="s">
        <v>86</v>
      </c>
      <c r="B224" s="8" t="s">
        <v>61</v>
      </c>
      <c r="C224" s="8" t="s">
        <v>71</v>
      </c>
      <c r="D224" s="15">
        <v>187590.38538881921</v>
      </c>
    </row>
    <row r="225" spans="1:4">
      <c r="A225" s="8" t="s">
        <v>86</v>
      </c>
      <c r="B225" s="8" t="s">
        <v>62</v>
      </c>
      <c r="C225" s="8" t="s">
        <v>71</v>
      </c>
      <c r="D225" s="15">
        <v>202481.6875737446</v>
      </c>
    </row>
    <row r="226" spans="1:4">
      <c r="A226" s="8" t="s">
        <v>86</v>
      </c>
      <c r="B226" s="8" t="s">
        <v>63</v>
      </c>
      <c r="C226" s="8" t="s">
        <v>71</v>
      </c>
      <c r="D226" s="15">
        <v>161477.62375977598</v>
      </c>
    </row>
    <row r="227" spans="1:4">
      <c r="A227" s="8" t="s">
        <v>86</v>
      </c>
      <c r="B227" s="8" t="s">
        <v>64</v>
      </c>
      <c r="C227" s="8" t="s">
        <v>71</v>
      </c>
      <c r="D227" s="15">
        <v>144569.8979858479</v>
      </c>
    </row>
    <row r="228" spans="1:4">
      <c r="A228" s="8" t="s">
        <v>86</v>
      </c>
      <c r="B228" s="8" t="s">
        <v>65</v>
      </c>
      <c r="C228" s="8" t="s">
        <v>71</v>
      </c>
      <c r="D228" s="15">
        <v>232736.59041157467</v>
      </c>
    </row>
    <row r="229" spans="1:4">
      <c r="A229" s="8" t="s">
        <v>86</v>
      </c>
      <c r="B229" s="8" t="s">
        <v>66</v>
      </c>
      <c r="C229" s="8" t="s">
        <v>71</v>
      </c>
      <c r="D229" s="15">
        <v>149097.90094134805</v>
      </c>
    </row>
    <row r="230" spans="1:4">
      <c r="A230" s="8" t="s">
        <v>86</v>
      </c>
      <c r="B230" s="8" t="s">
        <v>50</v>
      </c>
      <c r="C230" s="8" t="s">
        <v>72</v>
      </c>
      <c r="D230" s="15">
        <v>48738.491240193725</v>
      </c>
    </row>
    <row r="231" spans="1:4">
      <c r="A231" s="8" t="s">
        <v>86</v>
      </c>
      <c r="B231" s="8" t="s">
        <v>52</v>
      </c>
      <c r="C231" s="8" t="s">
        <v>72</v>
      </c>
      <c r="D231" s="15">
        <v>224.72096533864558</v>
      </c>
    </row>
    <row r="232" spans="1:4">
      <c r="A232" s="8" t="s">
        <v>86</v>
      </c>
      <c r="B232" s="8" t="s">
        <v>54</v>
      </c>
      <c r="C232" s="8" t="s">
        <v>72</v>
      </c>
      <c r="D232" s="15">
        <v>3101.3853342873304</v>
      </c>
    </row>
    <row r="233" spans="1:4">
      <c r="A233" s="8" t="s">
        <v>86</v>
      </c>
      <c r="B233" s="8" t="s">
        <v>56</v>
      </c>
      <c r="C233" s="8" t="s">
        <v>72</v>
      </c>
      <c r="D233" s="15">
        <v>270.46447208624318</v>
      </c>
    </row>
    <row r="234" spans="1:4">
      <c r="A234" s="8" t="s">
        <v>86</v>
      </c>
      <c r="B234" s="8" t="s">
        <v>58</v>
      </c>
      <c r="C234" s="8" t="s">
        <v>72</v>
      </c>
      <c r="D234" s="15">
        <v>14379.307092192024</v>
      </c>
    </row>
    <row r="235" spans="1:4">
      <c r="A235" s="8" t="s">
        <v>86</v>
      </c>
      <c r="B235" s="8" t="s">
        <v>60</v>
      </c>
      <c r="C235" s="8" t="s">
        <v>72</v>
      </c>
      <c r="D235" s="15">
        <v>5357.8919268691297</v>
      </c>
    </row>
    <row r="236" spans="1:4">
      <c r="A236" s="8" t="s">
        <v>86</v>
      </c>
      <c r="B236" s="8" t="s">
        <v>61</v>
      </c>
      <c r="C236" s="8" t="s">
        <v>72</v>
      </c>
      <c r="D236" s="15">
        <v>5002.0224698625725</v>
      </c>
    </row>
    <row r="237" spans="1:4">
      <c r="A237" s="8" t="s">
        <v>86</v>
      </c>
      <c r="B237" s="8" t="s">
        <v>62</v>
      </c>
      <c r="C237" s="8" t="s">
        <v>72</v>
      </c>
      <c r="D237" s="15">
        <v>187.53178131335386</v>
      </c>
    </row>
    <row r="238" spans="1:4">
      <c r="A238" s="8" t="s">
        <v>86</v>
      </c>
      <c r="B238" s="8" t="s">
        <v>63</v>
      </c>
      <c r="C238" s="8" t="s">
        <v>72</v>
      </c>
      <c r="D238" s="15">
        <v>3157.4518592485197</v>
      </c>
    </row>
    <row r="239" spans="1:4">
      <c r="A239" s="8" t="s">
        <v>86</v>
      </c>
      <c r="B239" s="8" t="s">
        <v>64</v>
      </c>
      <c r="C239" s="8" t="s">
        <v>72</v>
      </c>
      <c r="D239" s="15">
        <v>299.05826125604136</v>
      </c>
    </row>
    <row r="240" spans="1:4">
      <c r="A240" s="8" t="s">
        <v>86</v>
      </c>
      <c r="B240" s="8" t="s">
        <v>65</v>
      </c>
      <c r="C240" s="8" t="s">
        <v>72</v>
      </c>
      <c r="D240" s="15">
        <v>328.08703098970904</v>
      </c>
    </row>
    <row r="241" spans="1:4">
      <c r="A241" s="8" t="s">
        <v>86</v>
      </c>
      <c r="B241" s="8" t="s">
        <v>66</v>
      </c>
      <c r="C241" s="8" t="s">
        <v>72</v>
      </c>
      <c r="D241" s="15">
        <v>10441.388813473728</v>
      </c>
    </row>
    <row r="242" spans="1:4">
      <c r="A242" s="8" t="s">
        <v>87</v>
      </c>
      <c r="B242" s="8" t="s">
        <v>50</v>
      </c>
      <c r="C242" s="8" t="s">
        <v>49</v>
      </c>
      <c r="D242" s="15">
        <v>135886.56819139904</v>
      </c>
    </row>
    <row r="243" spans="1:4">
      <c r="A243" s="8" t="s">
        <v>87</v>
      </c>
      <c r="B243" s="8" t="s">
        <v>52</v>
      </c>
      <c r="C243" s="8" t="s">
        <v>49</v>
      </c>
      <c r="D243" s="15">
        <v>10936.78140724717</v>
      </c>
    </row>
    <row r="244" spans="1:4">
      <c r="A244" s="8" t="s">
        <v>87</v>
      </c>
      <c r="B244" s="8" t="s">
        <v>54</v>
      </c>
      <c r="C244" s="8" t="s">
        <v>49</v>
      </c>
      <c r="D244" s="15">
        <v>52713.093848199453</v>
      </c>
    </row>
    <row r="245" spans="1:4">
      <c r="A245" s="8" t="s">
        <v>87</v>
      </c>
      <c r="B245" s="8" t="s">
        <v>56</v>
      </c>
      <c r="C245" s="8" t="s">
        <v>49</v>
      </c>
      <c r="D245" s="15">
        <v>3084.0823829982392</v>
      </c>
    </row>
    <row r="246" spans="1:4">
      <c r="A246" s="8" t="s">
        <v>87</v>
      </c>
      <c r="B246" s="8" t="s">
        <v>58</v>
      </c>
      <c r="C246" s="8" t="s">
        <v>49</v>
      </c>
      <c r="D246" s="15">
        <v>164018.30709929846</v>
      </c>
    </row>
    <row r="247" spans="1:4">
      <c r="A247" s="8" t="s">
        <v>87</v>
      </c>
      <c r="B247" s="8" t="s">
        <v>60</v>
      </c>
      <c r="C247" s="8" t="s">
        <v>49</v>
      </c>
      <c r="D247" s="15">
        <v>1676.0583867633047</v>
      </c>
    </row>
    <row r="248" spans="1:4">
      <c r="A248" s="8" t="s">
        <v>87</v>
      </c>
      <c r="B248" s="8" t="s">
        <v>61</v>
      </c>
      <c r="C248" s="8" t="s">
        <v>49</v>
      </c>
      <c r="D248" s="15">
        <v>53370.589515417567</v>
      </c>
    </row>
    <row r="249" spans="1:4">
      <c r="A249" s="8" t="s">
        <v>87</v>
      </c>
      <c r="B249" s="8" t="s">
        <v>62</v>
      </c>
      <c r="C249" s="8" t="s">
        <v>49</v>
      </c>
      <c r="D249" s="15">
        <v>436.28026207835831</v>
      </c>
    </row>
    <row r="250" spans="1:4">
      <c r="A250" s="8" t="s">
        <v>87</v>
      </c>
      <c r="B250" s="8" t="s">
        <v>63</v>
      </c>
      <c r="C250" s="8" t="s">
        <v>49</v>
      </c>
      <c r="D250" s="15">
        <v>3064.9043232289728</v>
      </c>
    </row>
    <row r="251" spans="1:4">
      <c r="A251" s="8" t="s">
        <v>87</v>
      </c>
      <c r="B251" s="8" t="s">
        <v>64</v>
      </c>
      <c r="C251" s="8" t="s">
        <v>49</v>
      </c>
      <c r="D251" s="15">
        <v>105193.46158003728</v>
      </c>
    </row>
    <row r="252" spans="1:4">
      <c r="A252" s="8" t="s">
        <v>87</v>
      </c>
      <c r="B252" s="8" t="s">
        <v>65</v>
      </c>
      <c r="C252" s="8" t="s">
        <v>49</v>
      </c>
      <c r="D252" s="15">
        <v>138897.27501506876</v>
      </c>
    </row>
    <row r="253" spans="1:4">
      <c r="A253" s="8" t="s">
        <v>87</v>
      </c>
      <c r="B253" s="8" t="s">
        <v>66</v>
      </c>
      <c r="C253" s="8" t="s">
        <v>49</v>
      </c>
      <c r="D253" s="15">
        <v>11038.35388898053</v>
      </c>
    </row>
    <row r="254" spans="1:4">
      <c r="A254" s="8" t="s">
        <v>87</v>
      </c>
      <c r="B254" s="8" t="s">
        <v>50</v>
      </c>
      <c r="C254" s="8" t="s">
        <v>67</v>
      </c>
      <c r="D254" s="15">
        <v>0</v>
      </c>
    </row>
    <row r="255" spans="1:4">
      <c r="A255" s="8" t="s">
        <v>87</v>
      </c>
      <c r="B255" s="8" t="s">
        <v>52</v>
      </c>
      <c r="C255" s="8" t="s">
        <v>67</v>
      </c>
      <c r="D255" s="15">
        <v>0</v>
      </c>
    </row>
    <row r="256" spans="1:4">
      <c r="A256" s="8" t="s">
        <v>87</v>
      </c>
      <c r="B256" s="8" t="s">
        <v>54</v>
      </c>
      <c r="C256" s="8" t="s">
        <v>67</v>
      </c>
      <c r="D256" s="15">
        <v>0</v>
      </c>
    </row>
    <row r="257" spans="1:4">
      <c r="A257" s="8" t="s">
        <v>87</v>
      </c>
      <c r="B257" s="8" t="s">
        <v>56</v>
      </c>
      <c r="C257" s="8" t="s">
        <v>67</v>
      </c>
      <c r="D257" s="15">
        <v>0</v>
      </c>
    </row>
    <row r="258" spans="1:4">
      <c r="A258" s="8" t="s">
        <v>87</v>
      </c>
      <c r="B258" s="8" t="s">
        <v>58</v>
      </c>
      <c r="C258" s="8" t="s">
        <v>67</v>
      </c>
      <c r="D258" s="15">
        <v>0</v>
      </c>
    </row>
    <row r="259" spans="1:4">
      <c r="A259" s="8" t="s">
        <v>87</v>
      </c>
      <c r="B259" s="8" t="s">
        <v>60</v>
      </c>
      <c r="C259" s="8" t="s">
        <v>67</v>
      </c>
      <c r="D259" s="15">
        <v>40.974342575962254</v>
      </c>
    </row>
    <row r="260" spans="1:4">
      <c r="A260" s="8" t="s">
        <v>87</v>
      </c>
      <c r="B260" s="8" t="s">
        <v>61</v>
      </c>
      <c r="C260" s="8" t="s">
        <v>67</v>
      </c>
      <c r="D260" s="15">
        <v>0</v>
      </c>
    </row>
    <row r="261" spans="1:4">
      <c r="A261" s="8" t="s">
        <v>87</v>
      </c>
      <c r="B261" s="8" t="s">
        <v>62</v>
      </c>
      <c r="C261" s="8" t="s">
        <v>67</v>
      </c>
      <c r="D261" s="15">
        <v>0</v>
      </c>
    </row>
    <row r="262" spans="1:4">
      <c r="A262" s="8" t="s">
        <v>87</v>
      </c>
      <c r="B262" s="8" t="s">
        <v>63</v>
      </c>
      <c r="C262" s="8" t="s">
        <v>67</v>
      </c>
      <c r="D262" s="15">
        <v>0</v>
      </c>
    </row>
    <row r="263" spans="1:4">
      <c r="A263" s="8" t="s">
        <v>87</v>
      </c>
      <c r="B263" s="8" t="s">
        <v>64</v>
      </c>
      <c r="C263" s="8" t="s">
        <v>67</v>
      </c>
      <c r="D263" s="15">
        <v>0</v>
      </c>
    </row>
    <row r="264" spans="1:4">
      <c r="A264" s="8" t="s">
        <v>87</v>
      </c>
      <c r="B264" s="8" t="s">
        <v>65</v>
      </c>
      <c r="C264" s="8" t="s">
        <v>67</v>
      </c>
      <c r="D264" s="15">
        <v>0</v>
      </c>
    </row>
    <row r="265" spans="1:4">
      <c r="A265" s="8" t="s">
        <v>87</v>
      </c>
      <c r="B265" s="8" t="s">
        <v>66</v>
      </c>
      <c r="C265" s="8" t="s">
        <v>67</v>
      </c>
      <c r="D265" s="15">
        <v>0</v>
      </c>
    </row>
    <row r="266" spans="1:4">
      <c r="A266" s="8" t="s">
        <v>87</v>
      </c>
      <c r="B266" s="8" t="s">
        <v>50</v>
      </c>
      <c r="C266" s="8" t="s">
        <v>71</v>
      </c>
      <c r="D266" s="15">
        <v>49694.247598368893</v>
      </c>
    </row>
    <row r="267" spans="1:4">
      <c r="A267" s="8" t="s">
        <v>87</v>
      </c>
      <c r="B267" s="8" t="s">
        <v>52</v>
      </c>
      <c r="C267" s="8" t="s">
        <v>71</v>
      </c>
      <c r="D267" s="15">
        <v>97685.702117131892</v>
      </c>
    </row>
    <row r="268" spans="1:4">
      <c r="A268" s="8" t="s">
        <v>87</v>
      </c>
      <c r="B268" s="8" t="s">
        <v>54</v>
      </c>
      <c r="C268" s="8" t="s">
        <v>71</v>
      </c>
      <c r="D268" s="15">
        <v>182577.80659618691</v>
      </c>
    </row>
    <row r="269" spans="1:4">
      <c r="A269" s="8" t="s">
        <v>87</v>
      </c>
      <c r="B269" s="8" t="s">
        <v>56</v>
      </c>
      <c r="C269" s="8" t="s">
        <v>71</v>
      </c>
      <c r="D269" s="15">
        <v>187061.22583302553</v>
      </c>
    </row>
    <row r="270" spans="1:4">
      <c r="A270" s="8" t="s">
        <v>87</v>
      </c>
      <c r="B270" s="8" t="s">
        <v>58</v>
      </c>
      <c r="C270" s="8" t="s">
        <v>71</v>
      </c>
      <c r="D270" s="15">
        <v>92977.062630165659</v>
      </c>
    </row>
    <row r="271" spans="1:4">
      <c r="A271" s="8" t="s">
        <v>87</v>
      </c>
      <c r="B271" s="8" t="s">
        <v>60</v>
      </c>
      <c r="C271" s="8" t="s">
        <v>71</v>
      </c>
      <c r="D271" s="15">
        <v>270621.32595309912</v>
      </c>
    </row>
    <row r="272" spans="1:4">
      <c r="A272" s="8" t="s">
        <v>87</v>
      </c>
      <c r="B272" s="8" t="s">
        <v>61</v>
      </c>
      <c r="C272" s="8" t="s">
        <v>71</v>
      </c>
      <c r="D272" s="15">
        <v>190215.84734053872</v>
      </c>
    </row>
    <row r="273" spans="1:4">
      <c r="A273" s="8" t="s">
        <v>87</v>
      </c>
      <c r="B273" s="8" t="s">
        <v>62</v>
      </c>
      <c r="C273" s="8" t="s">
        <v>71</v>
      </c>
      <c r="D273" s="15">
        <v>257812.18833685378</v>
      </c>
    </row>
    <row r="274" spans="1:4">
      <c r="A274" s="8" t="s">
        <v>87</v>
      </c>
      <c r="B274" s="8" t="s">
        <v>63</v>
      </c>
      <c r="C274" s="8" t="s">
        <v>71</v>
      </c>
      <c r="D274" s="15">
        <v>196796.07875464711</v>
      </c>
    </row>
    <row r="275" spans="1:4">
      <c r="A275" s="8" t="s">
        <v>87</v>
      </c>
      <c r="B275" s="8" t="s">
        <v>64</v>
      </c>
      <c r="C275" s="8" t="s">
        <v>71</v>
      </c>
      <c r="D275" s="15">
        <v>27199.020163521935</v>
      </c>
    </row>
    <row r="276" spans="1:4">
      <c r="A276" s="8" t="s">
        <v>87</v>
      </c>
      <c r="B276" s="8" t="s">
        <v>65</v>
      </c>
      <c r="C276" s="8" t="s">
        <v>71</v>
      </c>
      <c r="D276" s="15">
        <v>46396.144891385346</v>
      </c>
    </row>
    <row r="277" spans="1:4">
      <c r="A277" s="8" t="s">
        <v>87</v>
      </c>
      <c r="B277" s="8" t="s">
        <v>66</v>
      </c>
      <c r="C277" s="8" t="s">
        <v>71</v>
      </c>
      <c r="D277" s="15">
        <v>88840.211992252036</v>
      </c>
    </row>
    <row r="278" spans="1:4">
      <c r="A278" s="8" t="s">
        <v>87</v>
      </c>
      <c r="B278" s="8" t="s">
        <v>50</v>
      </c>
      <c r="C278" s="8" t="s">
        <v>72</v>
      </c>
      <c r="D278" s="15">
        <v>722.08872369617302</v>
      </c>
    </row>
    <row r="279" spans="1:4">
      <c r="A279" s="8" t="s">
        <v>87</v>
      </c>
      <c r="B279" s="8" t="s">
        <v>52</v>
      </c>
      <c r="C279" s="8" t="s">
        <v>72</v>
      </c>
      <c r="D279" s="15">
        <v>65201.281621163034</v>
      </c>
    </row>
    <row r="280" spans="1:4">
      <c r="A280" s="8" t="s">
        <v>87</v>
      </c>
      <c r="B280" s="8" t="s">
        <v>54</v>
      </c>
      <c r="C280" s="8" t="s">
        <v>72</v>
      </c>
      <c r="D280" s="15">
        <v>31459.359108300858</v>
      </c>
    </row>
    <row r="281" spans="1:4">
      <c r="A281" s="8" t="s">
        <v>87</v>
      </c>
      <c r="B281" s="8" t="s">
        <v>56</v>
      </c>
      <c r="C281" s="8" t="s">
        <v>72</v>
      </c>
      <c r="D281" s="15">
        <v>25794.553039468923</v>
      </c>
    </row>
    <row r="282" spans="1:4">
      <c r="A282" s="8" t="s">
        <v>87</v>
      </c>
      <c r="B282" s="8" t="s">
        <v>58</v>
      </c>
      <c r="C282" s="8" t="s">
        <v>72</v>
      </c>
      <c r="D282" s="15">
        <v>74715.708249981908</v>
      </c>
    </row>
    <row r="283" spans="1:4">
      <c r="A283" s="8" t="s">
        <v>87</v>
      </c>
      <c r="B283" s="8" t="s">
        <v>60</v>
      </c>
      <c r="C283" s="8" t="s">
        <v>72</v>
      </c>
      <c r="D283" s="15">
        <v>767.16229341712267</v>
      </c>
    </row>
    <row r="284" spans="1:4">
      <c r="A284" s="8" t="s">
        <v>87</v>
      </c>
      <c r="B284" s="8" t="s">
        <v>61</v>
      </c>
      <c r="C284" s="8" t="s">
        <v>72</v>
      </c>
      <c r="D284" s="15">
        <v>28328.885433128668</v>
      </c>
    </row>
    <row r="285" spans="1:4">
      <c r="A285" s="8" t="s">
        <v>87</v>
      </c>
      <c r="B285" s="8" t="s">
        <v>62</v>
      </c>
      <c r="C285" s="8" t="s">
        <v>72</v>
      </c>
      <c r="D285" s="15">
        <v>1272.3821832258513</v>
      </c>
    </row>
    <row r="286" spans="1:4">
      <c r="A286" s="8" t="s">
        <v>87</v>
      </c>
      <c r="B286" s="8" t="s">
        <v>63</v>
      </c>
      <c r="C286" s="8" t="s">
        <v>72</v>
      </c>
      <c r="D286" s="15">
        <v>1271.9686920915763</v>
      </c>
    </row>
    <row r="287" spans="1:4">
      <c r="A287" s="8" t="s">
        <v>87</v>
      </c>
      <c r="B287" s="8" t="s">
        <v>64</v>
      </c>
      <c r="C287" s="8" t="s">
        <v>72</v>
      </c>
      <c r="D287" s="15">
        <v>28624.48804586241</v>
      </c>
    </row>
    <row r="288" spans="1:4">
      <c r="A288" s="8" t="s">
        <v>87</v>
      </c>
      <c r="B288" s="8" t="s">
        <v>65</v>
      </c>
      <c r="C288" s="8" t="s">
        <v>72</v>
      </c>
      <c r="D288" s="15">
        <v>449.3966705848344</v>
      </c>
    </row>
    <row r="289" spans="1:4">
      <c r="A289" s="8" t="s">
        <v>87</v>
      </c>
      <c r="B289" s="8" t="s">
        <v>66</v>
      </c>
      <c r="C289" s="8" t="s">
        <v>72</v>
      </c>
      <c r="D289" s="15">
        <v>6118.8725886080128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2.xml><?xml version="1.0" encoding="utf-8"?>
<Application xmlns="http://www.sap.com/cof/excel/application">
  <Version>2</Version>
  <Revision>2.8.1200.97930</Revision>
</Applicatio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47A32C49F98043A013FEBFBABC0102" ma:contentTypeVersion="20" ma:contentTypeDescription="Ein neues Dokument erstellen." ma:contentTypeScope="" ma:versionID="940c8578ad2409c38fcc9c6f75c71457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d1d593171c69c6a18a1349d6b5aae708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984803-FDD2-44E1-A9C3-3643189B88F6}"/>
</file>

<file path=customXml/itemProps2.xml><?xml version="1.0" encoding="utf-8"?>
<ds:datastoreItem xmlns:ds="http://schemas.openxmlformats.org/officeDocument/2006/customXml" ds:itemID="{57B120D9-C3B1-4D1A-9062-8D7626FAF47B}"/>
</file>

<file path=customXml/itemProps3.xml><?xml version="1.0" encoding="utf-8"?>
<ds:datastoreItem xmlns:ds="http://schemas.openxmlformats.org/officeDocument/2006/customXml" ds:itemID="{280E239B-0F11-4AB6-8137-7DFD54C5686E}"/>
</file>

<file path=customXml/itemProps4.xml><?xml version="1.0" encoding="utf-8"?>
<ds:datastoreItem xmlns:ds="http://schemas.openxmlformats.org/officeDocument/2006/customXml" ds:itemID="{EB967C04-A829-4D1E-9DB2-D13B105B63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Mittelbach, Maurice</dc:creator>
  <cp:keywords/>
  <dc:description/>
  <cp:lastModifiedBy>Rainer Sawitzki (Guest)</cp:lastModifiedBy>
  <cp:revision/>
  <dcterms:created xsi:type="dcterms:W3CDTF">2023-01-13T13:24:18Z</dcterms:created>
  <dcterms:modified xsi:type="dcterms:W3CDTF">2023-02-07T20:53:04Z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MSIP_Label_abda4ade-b73a-4575-9edb-0cfe0c309fd1_Enabled">
    <vt:lpwstr>true</vt:lpwstr>
  </property>
  <property fmtid="{D5CDD505-2E9C-101B-9397-08002B2CF9AE}" pid="4" name="MSIP_Label_abda4ade-b73a-4575-9edb-0cfe0c309fd1_SetDate">
    <vt:lpwstr>2023-01-13T14:12:51Z</vt:lpwstr>
  </property>
  <property fmtid="{D5CDD505-2E9C-101B-9397-08002B2CF9AE}" pid="5" name="MSIP_Label_abda4ade-b73a-4575-9edb-0cfe0c309fd1_Method">
    <vt:lpwstr>Privileged</vt:lpwstr>
  </property>
  <property fmtid="{D5CDD505-2E9C-101B-9397-08002B2CF9AE}" pid="6" name="MSIP_Label_abda4ade-b73a-4575-9edb-0cfe0c309fd1_Name">
    <vt:lpwstr>abda4ade-b73a-4575-9edb-0cfe0c309fd1</vt:lpwstr>
  </property>
  <property fmtid="{D5CDD505-2E9C-101B-9397-08002B2CF9AE}" pid="7" name="MSIP_Label_abda4ade-b73a-4575-9edb-0cfe0c309fd1_SiteId">
    <vt:lpwstr>acf01cd9-ddd4-4522-a2c3-ebcadef31fbb</vt:lpwstr>
  </property>
  <property fmtid="{D5CDD505-2E9C-101B-9397-08002B2CF9AE}" pid="8" name="MSIP_Label_abda4ade-b73a-4575-9edb-0cfe0c309fd1_ActionId">
    <vt:lpwstr>887595c8-f8c6-4eb7-a1c6-4740377ac711</vt:lpwstr>
  </property>
  <property fmtid="{D5CDD505-2E9C-101B-9397-08002B2CF9AE}" pid="9" name="MSIP_Label_abda4ade-b73a-4575-9edb-0cfe0c309fd1_ContentBits">
    <vt:lpwstr>2</vt:lpwstr>
  </property>
  <property fmtid="{D5CDD505-2E9C-101B-9397-08002B2CF9AE}" pid="10" name="ContentTypeId">
    <vt:lpwstr>0x010100C547A32C49F98043A013FEBFBABC0102</vt:lpwstr>
  </property>
  <property fmtid="{D5CDD505-2E9C-101B-9397-08002B2CF9AE}" pid="11" name="MediaServiceImageTags">
    <vt:lpwstr/>
  </property>
</Properties>
</file>