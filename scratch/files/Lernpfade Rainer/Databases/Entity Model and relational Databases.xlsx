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7"/>
  <workbookPr defaultThemeVersion="166925"/>
  <xr:revisionPtr revIDLastSave="1331" documentId="11_C1EBF633DDB7D7A112133633C418D2608346867D" xr6:coauthVersionLast="47" xr6:coauthVersionMax="47" xr10:uidLastSave="{B47A222B-67E7-4293-A2CC-BB7BAF03DA76}"/>
  <bookViews>
    <workbookView xWindow="240" yWindow="105" windowWidth="14805" windowHeight="8010" xr2:uid="{00000000-000D-0000-FFFF-FFFF00000000}"/>
  </bookViews>
  <sheets>
    <sheet name="Relationa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  <c r="D70" i="1"/>
  <c r="D64" i="1"/>
  <c r="D67" i="1"/>
  <c r="D61" i="1"/>
  <c r="D74" i="1"/>
  <c r="D71" i="1"/>
  <c r="D68" i="1"/>
  <c r="D65" i="1"/>
  <c r="D62" i="1"/>
  <c r="D58" i="1"/>
  <c r="D59" i="1" s="1"/>
  <c r="A32" i="1"/>
  <c r="A36" i="1"/>
  <c r="A40" i="1"/>
  <c r="A44" i="1"/>
  <c r="A45" i="1" s="1"/>
  <c r="A55" i="1" s="1"/>
  <c r="A56" i="1" s="1"/>
</calcChain>
</file>

<file path=xl/sharedStrings.xml><?xml version="1.0" encoding="utf-8"?>
<sst xmlns="http://schemas.openxmlformats.org/spreadsheetml/2006/main" count="109" uniqueCount="96">
  <si>
    <t>Name</t>
  </si>
  <si>
    <t>Relational Databases</t>
  </si>
  <si>
    <t>classroom sessions including supported exercises</t>
  </si>
  <si>
    <t>Keywords</t>
  </si>
  <si>
    <t>database, entity model, relational</t>
  </si>
  <si>
    <t>external resource</t>
  </si>
  <si>
    <t>Trainerprofile</t>
  </si>
  <si>
    <t>exercise</t>
  </si>
  <si>
    <t>assert that participants</t>
  </si>
  <si>
    <t>project work</t>
  </si>
  <si>
    <t>need to use a relational database to store structured data</t>
  </si>
  <si>
    <t>videos</t>
  </si>
  <si>
    <t>have access to a relational database including read / write permissions</t>
  </si>
  <si>
    <t>have an installation of Visual Studio Code</t>
  </si>
  <si>
    <t>have installed the biger extension</t>
  </si>
  <si>
    <t>are familiar with a client server architectur</t>
  </si>
  <si>
    <t>participants expect to</t>
  </si>
  <si>
    <t>learn basic sql (create, read, update, delete)</t>
  </si>
  <si>
    <t>understand Entity Models</t>
  </si>
  <si>
    <t>query a relational database</t>
  </si>
  <si>
    <t>learn to join data</t>
  </si>
  <si>
    <t>learn to use sql aggregate functions</t>
  </si>
  <si>
    <t>learn to use client tools</t>
  </si>
  <si>
    <t>know the base principles of database operations</t>
  </si>
  <si>
    <t>participants do not expect to</t>
  </si>
  <si>
    <t>implement a web service</t>
  </si>
  <si>
    <t>implement a graphical user interface or a web application</t>
  </si>
  <si>
    <t>develop client applications with a database backend</t>
  </si>
  <si>
    <t>develop stored procedures</t>
  </si>
  <si>
    <t>skill</t>
  </si>
  <si>
    <t>sql developer</t>
  </si>
  <si>
    <t>Content</t>
  </si>
  <si>
    <t>nr</t>
  </si>
  <si>
    <t>title</t>
  </si>
  <si>
    <t>topics</t>
  </si>
  <si>
    <t>duration  [min]</t>
  </si>
  <si>
    <t>labels</t>
  </si>
  <si>
    <t>detail</t>
  </si>
  <si>
    <t>remark</t>
  </si>
  <si>
    <t>introduction</t>
  </si>
  <si>
    <t>where do we stand and where do i want you to go?</t>
  </si>
  <si>
    <t>database</t>
  </si>
  <si>
    <t>https://github.com/Javacream/com.evonik.dataprocessor.level2/tree/work_databases/entitymodel_and_relational/01-introduction</t>
  </si>
  <si>
    <t>Part 1 to 4 are not an essential part for data analysis! Creating complex models is in most cases not necessary, so as a trainer don't do too much with datatypes, constraints and ddl. Participants should be able to create tables temporarelly during a data analysis, not more</t>
  </si>
  <si>
    <t>login to a relational database</t>
  </si>
  <si>
    <t>mysql</t>
  </si>
  <si>
    <t>execute your first statement</t>
  </si>
  <si>
    <t>postgres</t>
  </si>
  <si>
    <t>entity model</t>
  </si>
  <si>
    <t>what is a model?</t>
  </si>
  <si>
    <t>modelling</t>
  </si>
  <si>
    <t>https://github.com/Javacream/com.evonik.dataprocessor.level2/tree/work_databases/entitymodel_and_relational/02-entity-model</t>
  </si>
  <si>
    <t>flat entities</t>
  </si>
  <si>
    <t>entity</t>
  </si>
  <si>
    <t>add type information</t>
  </si>
  <si>
    <t>types</t>
  </si>
  <si>
    <t>start the publishing model with Book</t>
  </si>
  <si>
    <t>relations</t>
  </si>
  <si>
    <t>relation or association</t>
  </si>
  <si>
    <t>one to one</t>
  </si>
  <si>
    <t>https://github.com/Javacream/com.evonik.dataprocessor.level2/tree/work_databases/entitymodel_and_relational/03-relations</t>
  </si>
  <si>
    <t>relation types</t>
  </si>
  <si>
    <t>one to many</t>
  </si>
  <si>
    <t>unidirectional and bidirectional</t>
  </si>
  <si>
    <t>many to many</t>
  </si>
  <si>
    <t>add publisher, author, book_info</t>
  </si>
  <si>
    <t>relational databases</t>
  </si>
  <si>
    <t>introduce SQL and DDL</t>
  </si>
  <si>
    <t>SQL</t>
  </si>
  <si>
    <t>https://github.com/Javacream/com.evonik.dataprocessor.level2/tree/work_databases/entitymodel_and_relational/04-ddl</t>
  </si>
  <si>
    <t>entities, relations and tables</t>
  </si>
  <si>
    <t>DDL</t>
  </si>
  <si>
    <t>create a DDL script from an entity model</t>
  </si>
  <si>
    <t>create a DDL script from the publishing model</t>
  </si>
  <si>
    <t>introduce the sample database</t>
  </si>
  <si>
    <t>https://github.com/Javacream/com.evonik.dataprocessor.level2/tree/work_databases/entitymodel_and_relational/05-sample-data</t>
  </si>
  <si>
    <t>queries</t>
  </si>
  <si>
    <t>selecting data from single table</t>
  </si>
  <si>
    <t>select from</t>
  </si>
  <si>
    <t>https://github.com/Javacream/com.evonik.dataprocessor.level2/tree/work_databases/entitymodel_and_relational/06-queries</t>
  </si>
  <si>
    <t>introduce where</t>
  </si>
  <si>
    <t>where</t>
  </si>
  <si>
    <t>introduce projections</t>
  </si>
  <si>
    <t>introduce union</t>
  </si>
  <si>
    <t>union</t>
  </si>
  <si>
    <t>introduce single joins</t>
  </si>
  <si>
    <t>join</t>
  </si>
  <si>
    <t>introduce nested joins</t>
  </si>
  <si>
    <t>introduce aggregate functions</t>
  </si>
  <si>
    <t>count, group by</t>
  </si>
  <si>
    <t>tutorial</t>
  </si>
  <si>
    <t>https://github.com/Javacream/com.evonik.dataprocessor.level2/tree/work_databases/entitymodel_and_relational/07-tutorial</t>
  </si>
  <si>
    <t>complex queries</t>
  </si>
  <si>
    <t>https://github.com/Javacream/com.evonik.dataprocessor.level2/tree/work_databases/entitymodel_and_relational/08-complex-queries</t>
  </si>
  <si>
    <t>Total Time [h]</t>
  </si>
  <si>
    <t>Total Time [days]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</si>
</sst>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9E1F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4" borderId="5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0" xfId="0" applyFill="1"/>
    <xf numFmtId="0" fontId="0" fillId="7" borderId="5" xfId="0" applyFill="1" applyBorder="1"/>
    <xf numFmtId="0" fontId="1" fillId="0" borderId="0" xfId="0" applyFont="1"/>
    <xf numFmtId="0" fontId="0" fillId="0" borderId="0" xfId="0" applyAlignment="1">
      <alignment wrapText="1"/>
    </xf>
    <xf numFmtId="0" fontId="0" fillId="4" borderId="7" xfId="0" applyFill="1" applyBorder="1"/>
    <xf numFmtId="0" fontId="0" fillId="4" borderId="8" xfId="0" applyFill="1" applyBorder="1"/>
    <xf numFmtId="0" fontId="1" fillId="8" borderId="1" xfId="0" applyFont="1" applyFill="1" applyBorder="1"/>
    <xf numFmtId="0" fontId="1" fillId="8" borderId="2" xfId="0" applyFont="1" applyFill="1" applyBorder="1"/>
    <xf numFmtId="0" fontId="1" fillId="8" borderId="3" xfId="0" applyFont="1" applyFill="1" applyBorder="1"/>
    <xf numFmtId="0" fontId="1" fillId="8" borderId="3" xfId="0" applyFont="1" applyFill="1" applyBorder="1" applyAlignment="1">
      <alignment wrapText="1"/>
    </xf>
    <xf numFmtId="0" fontId="1" fillId="7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2" borderId="0" xfId="0" applyFont="1" applyFill="1"/>
    <xf numFmtId="2" fontId="1" fillId="0" borderId="0" xfId="0" quotePrefix="1" applyNumberFormat="1" applyFont="1"/>
    <xf numFmtId="2" fontId="1" fillId="0" borderId="0" xfId="0" applyNumberFormat="1" applyFont="1"/>
    <xf numFmtId="2" fontId="0" fillId="0" borderId="0" xfId="0" applyNumberFormat="1"/>
    <xf numFmtId="2" fontId="1" fillId="7" borderId="0" xfId="0" quotePrefix="1" applyNumberFormat="1" applyFont="1" applyFill="1"/>
    <xf numFmtId="2" fontId="1" fillId="7" borderId="0" xfId="0" applyNumberFormat="1" applyFont="1" applyFill="1"/>
    <xf numFmtId="2" fontId="1" fillId="4" borderId="0" xfId="0" quotePrefix="1" applyNumberFormat="1" applyFont="1" applyFill="1"/>
    <xf numFmtId="2" fontId="1" fillId="4" borderId="0" xfId="0" applyNumberFormat="1" applyFont="1" applyFill="1"/>
    <xf numFmtId="2" fontId="1" fillId="6" borderId="0" xfId="0" quotePrefix="1" applyNumberFormat="1" applyFont="1" applyFill="1"/>
    <xf numFmtId="2" fontId="1" fillId="6" borderId="0" xfId="0" applyNumberFormat="1" applyFont="1" applyFill="1"/>
    <xf numFmtId="2" fontId="1" fillId="2" borderId="0" xfId="0" quotePrefix="1" applyNumberFormat="1" applyFont="1" applyFill="1"/>
    <xf numFmtId="2" fontId="1" fillId="2" borderId="0" xfId="0" applyNumberFormat="1" applyFont="1" applyFill="1"/>
    <xf numFmtId="0" fontId="1" fillId="3" borderId="0" xfId="0" applyFont="1" applyFill="1"/>
    <xf numFmtId="2" fontId="1" fillId="3" borderId="0" xfId="0" quotePrefix="1" applyNumberFormat="1" applyFont="1" applyFill="1"/>
    <xf numFmtId="2" fontId="1" fillId="3" borderId="0" xfId="0" applyNumberFormat="1" applyFont="1" applyFill="1"/>
    <xf numFmtId="0" fontId="0" fillId="0" borderId="0" xfId="0" quotePrefix="1"/>
    <xf numFmtId="0" fontId="2" fillId="0" borderId="0" xfId="1"/>
    <xf numFmtId="0" fontId="0" fillId="6" borderId="7" xfId="0" applyFill="1" applyBorder="1" applyAlignment="1">
      <alignment horizontal="right" vertical="center"/>
    </xf>
    <xf numFmtId="0" fontId="0" fillId="4" borderId="0" xfId="0" applyFill="1" applyAlignment="1">
      <alignment vertical="center"/>
    </xf>
    <xf numFmtId="0" fontId="0" fillId="4" borderId="7" xfId="0" applyFill="1" applyBorder="1" applyAlignment="1">
      <alignment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/>
    <xf numFmtId="0" fontId="0" fillId="2" borderId="11" xfId="0" applyFill="1" applyBorder="1"/>
    <xf numFmtId="0" fontId="0" fillId="7" borderId="0" xfId="0" applyFill="1" applyAlignment="1">
      <alignment vertical="center"/>
    </xf>
    <xf numFmtId="0" fontId="2" fillId="2" borderId="11" xfId="1" applyFill="1" applyBorder="1" applyAlignment="1">
      <alignment wrapText="1"/>
    </xf>
    <xf numFmtId="0" fontId="0" fillId="9" borderId="9" xfId="0" applyFill="1" applyBorder="1" applyAlignment="1">
      <alignment horizontal="left" vertical="center"/>
    </xf>
    <xf numFmtId="0" fontId="0" fillId="9" borderId="10" xfId="0" applyFill="1" applyBorder="1"/>
    <xf numFmtId="0" fontId="0" fillId="9" borderId="10" xfId="0" applyFill="1" applyBorder="1" applyAlignment="1">
      <alignment horizontal="right" vertical="center"/>
    </xf>
    <xf numFmtId="0" fontId="0" fillId="9" borderId="11" xfId="0" applyFill="1" applyBorder="1"/>
    <xf numFmtId="0" fontId="2" fillId="9" borderId="11" xfId="1" applyFill="1" applyBorder="1" applyAlignment="1">
      <alignment wrapText="1"/>
    </xf>
    <xf numFmtId="0" fontId="0" fillId="6" borderId="14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6" borderId="7" xfId="0" applyFill="1" applyBorder="1"/>
    <xf numFmtId="0" fontId="0" fillId="6" borderId="8" xfId="0" applyFill="1" applyBorder="1"/>
    <xf numFmtId="0" fontId="2" fillId="6" borderId="8" xfId="1" applyFill="1" applyBorder="1" applyAlignment="1">
      <alignment wrapText="1"/>
    </xf>
    <xf numFmtId="0" fontId="0" fillId="5" borderId="12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0" fillId="7" borderId="0" xfId="0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5" borderId="2" xfId="0" applyFill="1" applyBorder="1" applyAlignment="1">
      <alignment horizontal="right" vertical="center"/>
    </xf>
    <xf numFmtId="0" fontId="0" fillId="7" borderId="2" xfId="0" applyFill="1" applyBorder="1" applyAlignment="1">
      <alignment horizontal="right" vertical="center"/>
    </xf>
    <xf numFmtId="0" fontId="2" fillId="5" borderId="1" xfId="1" applyFill="1" applyBorder="1" applyAlignment="1">
      <alignment horizontal="left" vertical="center" wrapText="1"/>
    </xf>
    <xf numFmtId="0" fontId="2" fillId="5" borderId="4" xfId="1" applyFill="1" applyBorder="1" applyAlignment="1">
      <alignment horizontal="left" vertical="center" wrapText="1"/>
    </xf>
    <xf numFmtId="0" fontId="2" fillId="7" borderId="1" xfId="1" applyFill="1" applyBorder="1" applyAlignment="1">
      <alignment vertical="center" wrapText="1"/>
    </xf>
    <xf numFmtId="0" fontId="2" fillId="7" borderId="4" xfId="1" applyFill="1" applyBorder="1" applyAlignment="1">
      <alignment vertical="center" wrapText="1"/>
    </xf>
    <xf numFmtId="0" fontId="2" fillId="7" borderId="6" xfId="1" applyFill="1" applyBorder="1" applyAlignment="1">
      <alignment vertical="center" wrapText="1"/>
    </xf>
    <xf numFmtId="0" fontId="2" fillId="7" borderId="13" xfId="1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/>
    </xf>
    <xf numFmtId="0" fontId="0" fillId="7" borderId="13" xfId="0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vacream/com.evonik.dataprocessor.level2/tree/work_databases/entitymodel_and_relational/07-tutorial" TargetMode="External"/><Relationship Id="rId3" Type="http://schemas.openxmlformats.org/officeDocument/2006/relationships/hyperlink" Target="https://github.com/Javacream/com.evonik.dataprocessor.level2/tree/work_databases/entitymodel_and_relational/02-entity-model" TargetMode="External"/><Relationship Id="rId7" Type="http://schemas.openxmlformats.org/officeDocument/2006/relationships/hyperlink" Target="https://github.com/Javacream/com.evonik.dataprocessor.level2/tree/work_databases/entitymodel_and_relational/06-queries" TargetMode="External"/><Relationship Id="rId2" Type="http://schemas.openxmlformats.org/officeDocument/2006/relationships/hyperlink" Target="https://github.com/Javacream/com.evonik.dataprocessor.level2/tree/work_databases/entitymodel_and_relational/01-introduction" TargetMode="External"/><Relationship Id="rId1" Type="http://schemas.openxmlformats.org/officeDocument/2006/relationships/hyperlink" Target="https://evonik.sharepoint.com/:x:/r/sites/dataevonik/Shared%20Documents/400%20Data%20Literacy%20and%20Culture/Project%20organization/60_Redaktionskonferenz/Lernpfade%20Rainer/DPL2/Databases/Trainerprofile%20Data%20Processor%20Level%202%20Databases.xlsx?d=w15b183a4d9364131bb4dec02e1ce6204&amp;csf=1&amp;web=1&amp;e=GmQU0t" TargetMode="External"/><Relationship Id="rId6" Type="http://schemas.openxmlformats.org/officeDocument/2006/relationships/hyperlink" Target="https://github.com/Javacream/com.evonik.dataprocessor.level2/tree/work_databases/entitymodel_and_relational/05-sample-data" TargetMode="External"/><Relationship Id="rId5" Type="http://schemas.openxmlformats.org/officeDocument/2006/relationships/hyperlink" Target="https://github.com/Javacream/com.evonik.dataprocessor.level2/tree/work_databases/entitymodel_and_relational/04-ddl" TargetMode="External"/><Relationship Id="rId4" Type="http://schemas.openxmlformats.org/officeDocument/2006/relationships/hyperlink" Target="https://github.com/Javacream/com.evonik.dataprocessor.level2/tree/work_databases/entitymodel_and_relational/03-relations" TargetMode="External"/><Relationship Id="rId9" Type="http://schemas.openxmlformats.org/officeDocument/2006/relationships/hyperlink" Target="https://github.com/Javacream/com.evonik.dataprocessor.level2/tree/work_databases/entitymodel_and_relational/08-complex-que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B35" workbookViewId="0">
      <selection activeCell="F56" sqref="F56"/>
    </sheetView>
  </sheetViews>
  <sheetFormatPr defaultRowHeight="15"/>
  <cols>
    <col min="1" max="1" width="26.85546875" bestFit="1" customWidth="1"/>
    <col min="2" max="2" width="66.42578125" customWidth="1"/>
    <col min="3" max="3" width="58.42578125" customWidth="1"/>
    <col min="4" max="4" width="30.28515625" customWidth="1"/>
    <col min="5" max="5" width="18.85546875" bestFit="1" customWidth="1"/>
    <col min="6" max="6" width="55.28515625" style="15" customWidth="1"/>
    <col min="7" max="7" width="50.28515625" customWidth="1"/>
    <col min="8" max="8" width="16.85546875" bestFit="1" customWidth="1"/>
  </cols>
  <sheetData>
    <row r="1" spans="1:6">
      <c r="A1" t="s">
        <v>0</v>
      </c>
      <c r="B1" t="s">
        <v>1</v>
      </c>
      <c r="C1" s="4" t="s">
        <v>2</v>
      </c>
    </row>
    <row r="2" spans="1:6">
      <c r="A2" t="s">
        <v>3</v>
      </c>
      <c r="B2" t="s">
        <v>4</v>
      </c>
      <c r="C2" s="2" t="s">
        <v>5</v>
      </c>
    </row>
    <row r="3" spans="1:6">
      <c r="A3" s="41" t="s">
        <v>6</v>
      </c>
      <c r="B3" s="41"/>
      <c r="C3" s="3" t="s">
        <v>7</v>
      </c>
    </row>
    <row r="4" spans="1:6">
      <c r="A4" t="s">
        <v>8</v>
      </c>
      <c r="C4" s="5" t="s">
        <v>9</v>
      </c>
      <c r="E4" s="15"/>
    </row>
    <row r="5" spans="1:6">
      <c r="B5" t="s">
        <v>10</v>
      </c>
      <c r="C5" s="1" t="s">
        <v>11</v>
      </c>
      <c r="E5" s="15"/>
    </row>
    <row r="6" spans="1:6">
      <c r="B6" t="s">
        <v>12</v>
      </c>
      <c r="E6" s="15"/>
      <c r="F6"/>
    </row>
    <row r="7" spans="1:6">
      <c r="B7" t="s">
        <v>13</v>
      </c>
      <c r="E7" s="15"/>
      <c r="F7"/>
    </row>
    <row r="8" spans="1:6">
      <c r="B8" t="s">
        <v>14</v>
      </c>
      <c r="E8" s="15"/>
      <c r="F8"/>
    </row>
    <row r="9" spans="1:6">
      <c r="B9" t="s">
        <v>15</v>
      </c>
      <c r="E9" s="15"/>
      <c r="F9"/>
    </row>
    <row r="10" spans="1:6">
      <c r="A10" t="s">
        <v>16</v>
      </c>
      <c r="E10" s="15"/>
      <c r="F10"/>
    </row>
    <row r="11" spans="1:6">
      <c r="B11" t="s">
        <v>17</v>
      </c>
      <c r="E11" s="15"/>
      <c r="F11"/>
    </row>
    <row r="12" spans="1:6">
      <c r="B12" t="s">
        <v>18</v>
      </c>
      <c r="E12" s="15"/>
      <c r="F12"/>
    </row>
    <row r="13" spans="1:6">
      <c r="B13" t="s">
        <v>19</v>
      </c>
      <c r="E13" s="15"/>
      <c r="F13"/>
    </row>
    <row r="14" spans="1:6">
      <c r="B14" t="s">
        <v>20</v>
      </c>
      <c r="E14" s="15"/>
      <c r="F14"/>
    </row>
    <row r="15" spans="1:6">
      <c r="B15" t="s">
        <v>21</v>
      </c>
      <c r="E15" s="15"/>
      <c r="F15"/>
    </row>
    <row r="16" spans="1:6">
      <c r="B16" t="s">
        <v>22</v>
      </c>
      <c r="E16" s="15"/>
      <c r="F16"/>
    </row>
    <row r="17" spans="1:7">
      <c r="B17" t="s">
        <v>23</v>
      </c>
      <c r="E17" s="15"/>
      <c r="F17"/>
    </row>
    <row r="18" spans="1:7">
      <c r="A18" t="s">
        <v>24</v>
      </c>
      <c r="E18" s="15"/>
      <c r="F18"/>
    </row>
    <row r="19" spans="1:7">
      <c r="B19" t="s">
        <v>25</v>
      </c>
      <c r="E19" s="15"/>
      <c r="F19"/>
    </row>
    <row r="20" spans="1:7">
      <c r="B20" t="s">
        <v>26</v>
      </c>
      <c r="C20" s="40"/>
      <c r="E20" s="15"/>
      <c r="F20"/>
    </row>
    <row r="21" spans="1:7">
      <c r="B21" t="s">
        <v>27</v>
      </c>
      <c r="E21" s="15"/>
      <c r="F21"/>
    </row>
    <row r="22" spans="1:7">
      <c r="B22" t="s">
        <v>28</v>
      </c>
      <c r="E22" s="15"/>
      <c r="F22"/>
    </row>
    <row r="23" spans="1:7">
      <c r="E23" s="15"/>
      <c r="F23"/>
    </row>
    <row r="24" spans="1:7">
      <c r="A24" t="s">
        <v>29</v>
      </c>
      <c r="B24" t="s">
        <v>30</v>
      </c>
      <c r="E24" s="15"/>
      <c r="F24"/>
    </row>
    <row r="25" spans="1:7">
      <c r="E25" s="15"/>
      <c r="F25"/>
    </row>
    <row r="26" spans="1:7">
      <c r="A26" t="s">
        <v>31</v>
      </c>
      <c r="E26" s="15"/>
      <c r="F26"/>
    </row>
    <row r="28" spans="1:7" s="14" customFormat="1" ht="15" customHeight="1">
      <c r="A28" s="18" t="s">
        <v>32</v>
      </c>
      <c r="B28" s="18" t="s">
        <v>33</v>
      </c>
      <c r="C28" s="19" t="s">
        <v>34</v>
      </c>
      <c r="D28" s="19" t="s">
        <v>35</v>
      </c>
      <c r="E28" s="20" t="s">
        <v>36</v>
      </c>
      <c r="F28" s="21" t="s">
        <v>37</v>
      </c>
      <c r="G28" s="21" t="s">
        <v>38</v>
      </c>
    </row>
    <row r="29" spans="1:7" ht="15" customHeight="1">
      <c r="A29" s="79">
        <v>1</v>
      </c>
      <c r="B29" s="65" t="s">
        <v>39</v>
      </c>
      <c r="C29" s="6" t="s">
        <v>40</v>
      </c>
      <c r="D29" s="70">
        <v>45</v>
      </c>
      <c r="E29" s="7" t="s">
        <v>41</v>
      </c>
      <c r="F29" s="72" t="s">
        <v>42</v>
      </c>
      <c r="G29" s="60" t="s">
        <v>43</v>
      </c>
    </row>
    <row r="30" spans="1:7">
      <c r="A30" s="80"/>
      <c r="B30" s="66"/>
      <c r="C30" s="4" t="s">
        <v>44</v>
      </c>
      <c r="D30" s="64"/>
      <c r="E30" s="8" t="s">
        <v>45</v>
      </c>
      <c r="F30" s="73"/>
      <c r="G30" s="61"/>
    </row>
    <row r="31" spans="1:7">
      <c r="A31" s="80"/>
      <c r="B31" s="66"/>
      <c r="C31" s="4" t="s">
        <v>46</v>
      </c>
      <c r="D31" s="64"/>
      <c r="E31" s="8" t="s">
        <v>47</v>
      </c>
      <c r="F31" s="73"/>
      <c r="G31" s="61"/>
    </row>
    <row r="32" spans="1:7" ht="15" customHeight="1">
      <c r="A32" s="79">
        <f>A29+1</f>
        <v>2</v>
      </c>
      <c r="B32" s="65" t="s">
        <v>48</v>
      </c>
      <c r="C32" s="6" t="s">
        <v>49</v>
      </c>
      <c r="D32" s="70">
        <v>60</v>
      </c>
      <c r="E32" s="7" t="s">
        <v>50</v>
      </c>
      <c r="F32" s="72" t="s">
        <v>51</v>
      </c>
      <c r="G32" s="61"/>
    </row>
    <row r="33" spans="1:7">
      <c r="A33" s="80"/>
      <c r="B33" s="66"/>
      <c r="C33" s="4" t="s">
        <v>52</v>
      </c>
      <c r="D33" s="64"/>
      <c r="E33" s="8" t="s">
        <v>53</v>
      </c>
      <c r="F33" s="73"/>
      <c r="G33" s="61"/>
    </row>
    <row r="34" spans="1:7">
      <c r="A34" s="80"/>
      <c r="B34" s="66"/>
      <c r="C34" s="4" t="s">
        <v>54</v>
      </c>
      <c r="D34" s="64"/>
      <c r="E34" s="8" t="s">
        <v>55</v>
      </c>
      <c r="F34" s="73"/>
      <c r="G34" s="61"/>
    </row>
    <row r="35" spans="1:7">
      <c r="A35" s="80"/>
      <c r="B35" s="66"/>
      <c r="C35" s="3" t="s">
        <v>56</v>
      </c>
      <c r="D35" s="43">
        <v>30</v>
      </c>
      <c r="E35" s="9"/>
      <c r="F35" s="73"/>
      <c r="G35" s="61"/>
    </row>
    <row r="36" spans="1:7" ht="15" customHeight="1">
      <c r="A36" s="81">
        <f>A32+1</f>
        <v>3</v>
      </c>
      <c r="B36" s="67" t="s">
        <v>57</v>
      </c>
      <c r="C36" s="10" t="s">
        <v>58</v>
      </c>
      <c r="D36" s="71">
        <v>90</v>
      </c>
      <c r="E36" s="11" t="s">
        <v>59</v>
      </c>
      <c r="F36" s="74" t="s">
        <v>60</v>
      </c>
      <c r="G36" s="61"/>
    </row>
    <row r="37" spans="1:7">
      <c r="A37" s="82"/>
      <c r="B37" s="68"/>
      <c r="C37" s="12" t="s">
        <v>61</v>
      </c>
      <c r="D37" s="63"/>
      <c r="E37" s="13" t="s">
        <v>62</v>
      </c>
      <c r="F37" s="75"/>
      <c r="G37" s="61"/>
    </row>
    <row r="38" spans="1:7">
      <c r="A38" s="82"/>
      <c r="B38" s="68"/>
      <c r="C38" s="12" t="s">
        <v>63</v>
      </c>
      <c r="D38" s="63"/>
      <c r="E38" s="13" t="s">
        <v>64</v>
      </c>
      <c r="F38" s="75"/>
      <c r="G38" s="61"/>
    </row>
    <row r="39" spans="1:7">
      <c r="A39" s="83"/>
      <c r="B39" s="69"/>
      <c r="C39" s="16" t="s">
        <v>65</v>
      </c>
      <c r="D39" s="44">
        <v>60</v>
      </c>
      <c r="E39" s="17"/>
      <c r="F39" s="76"/>
      <c r="G39" s="61"/>
    </row>
    <row r="40" spans="1:7" ht="15" customHeight="1">
      <c r="A40" s="80">
        <f>A36+1</f>
        <v>4</v>
      </c>
      <c r="B40" s="66" t="s">
        <v>66</v>
      </c>
      <c r="C40" s="4" t="s">
        <v>67</v>
      </c>
      <c r="D40" s="64">
        <v>60</v>
      </c>
      <c r="E40" s="8" t="s">
        <v>68</v>
      </c>
      <c r="F40" s="73" t="s">
        <v>69</v>
      </c>
      <c r="G40" s="61"/>
    </row>
    <row r="41" spans="1:7">
      <c r="A41" s="80"/>
      <c r="B41" s="66"/>
      <c r="C41" s="4" t="s">
        <v>70</v>
      </c>
      <c r="D41" s="64"/>
      <c r="E41" s="8" t="s">
        <v>71</v>
      </c>
      <c r="F41" s="73"/>
      <c r="G41" s="61"/>
    </row>
    <row r="42" spans="1:7">
      <c r="A42" s="80"/>
      <c r="B42" s="66"/>
      <c r="C42" s="4" t="s">
        <v>72</v>
      </c>
      <c r="D42" s="64"/>
      <c r="E42" s="8"/>
      <c r="F42" s="73"/>
      <c r="G42" s="61"/>
    </row>
    <row r="43" spans="1:7">
      <c r="A43" s="80"/>
      <c r="B43" s="66"/>
      <c r="C43" s="3" t="s">
        <v>73</v>
      </c>
      <c r="D43" s="43">
        <v>30</v>
      </c>
      <c r="E43" s="9"/>
      <c r="F43" s="73"/>
      <c r="G43" s="62"/>
    </row>
    <row r="44" spans="1:7" ht="42.75" customHeight="1">
      <c r="A44" s="45">
        <f>A40+1</f>
        <v>5</v>
      </c>
      <c r="B44" s="45" t="s">
        <v>74</v>
      </c>
      <c r="C44" s="46"/>
      <c r="D44" s="46">
        <v>30</v>
      </c>
      <c r="E44" s="47"/>
      <c r="F44" s="49" t="s">
        <v>75</v>
      </c>
    </row>
    <row r="45" spans="1:7">
      <c r="A45" s="82">
        <f>A44+1</f>
        <v>6</v>
      </c>
      <c r="B45" s="78" t="s">
        <v>76</v>
      </c>
      <c r="C45" s="12" t="s">
        <v>77</v>
      </c>
      <c r="D45" s="63">
        <v>180</v>
      </c>
      <c r="E45" s="13" t="s">
        <v>78</v>
      </c>
      <c r="F45" s="77" t="s">
        <v>79</v>
      </c>
    </row>
    <row r="46" spans="1:7">
      <c r="A46" s="82"/>
      <c r="B46" s="78"/>
      <c r="C46" s="12" t="s">
        <v>80</v>
      </c>
      <c r="D46" s="63"/>
      <c r="E46" s="13" t="s">
        <v>81</v>
      </c>
      <c r="F46" s="77"/>
    </row>
    <row r="47" spans="1:7">
      <c r="A47" s="82"/>
      <c r="B47" s="78"/>
      <c r="C47" s="12" t="s">
        <v>82</v>
      </c>
      <c r="D47" s="63"/>
      <c r="E47" s="13"/>
      <c r="F47" s="77"/>
    </row>
    <row r="48" spans="1:7">
      <c r="A48" s="82"/>
      <c r="B48" s="78"/>
      <c r="C48" s="3" t="s">
        <v>7</v>
      </c>
      <c r="D48" s="43">
        <v>60</v>
      </c>
      <c r="E48" s="9"/>
      <c r="F48" s="77"/>
    </row>
    <row r="49" spans="1:6">
      <c r="A49" s="82"/>
      <c r="B49" s="78"/>
      <c r="C49" s="12" t="s">
        <v>83</v>
      </c>
      <c r="D49" s="63">
        <v>180</v>
      </c>
      <c r="E49" s="13" t="s">
        <v>84</v>
      </c>
      <c r="F49" s="77"/>
    </row>
    <row r="50" spans="1:6">
      <c r="A50" s="82"/>
      <c r="B50" s="78"/>
      <c r="C50" s="12" t="s">
        <v>85</v>
      </c>
      <c r="D50" s="63"/>
      <c r="E50" s="13" t="s">
        <v>86</v>
      </c>
      <c r="F50" s="77"/>
    </row>
    <row r="51" spans="1:6">
      <c r="A51" s="82"/>
      <c r="B51" s="78"/>
      <c r="C51" s="12" t="s">
        <v>87</v>
      </c>
      <c r="D51" s="63"/>
      <c r="E51" s="13"/>
      <c r="F51" s="77"/>
    </row>
    <row r="52" spans="1:6">
      <c r="A52" s="82"/>
      <c r="B52" s="78"/>
      <c r="C52" s="3" t="s">
        <v>7</v>
      </c>
      <c r="D52" s="43">
        <v>60</v>
      </c>
      <c r="E52" s="9"/>
      <c r="F52" s="77"/>
    </row>
    <row r="53" spans="1:6">
      <c r="A53" s="82"/>
      <c r="B53" s="78"/>
      <c r="C53" s="12" t="s">
        <v>88</v>
      </c>
      <c r="D53" s="48">
        <v>90</v>
      </c>
      <c r="E53" s="13" t="s">
        <v>89</v>
      </c>
      <c r="F53" s="77"/>
    </row>
    <row r="54" spans="1:6">
      <c r="A54" s="82"/>
      <c r="B54" s="78"/>
      <c r="C54" s="3" t="s">
        <v>7</v>
      </c>
      <c r="D54" s="43">
        <v>60</v>
      </c>
      <c r="E54" s="9"/>
      <c r="F54" s="77"/>
    </row>
    <row r="55" spans="1:6" ht="45.75">
      <c r="A55" s="50">
        <f>A45+1</f>
        <v>7</v>
      </c>
      <c r="B55" s="50" t="s">
        <v>90</v>
      </c>
      <c r="C55" s="51"/>
      <c r="D55" s="52">
        <v>1080</v>
      </c>
      <c r="E55" s="53"/>
      <c r="F55" s="54" t="s">
        <v>91</v>
      </c>
    </row>
    <row r="56" spans="1:6" ht="37.5" customHeight="1">
      <c r="A56" s="55">
        <f>A55+1</f>
        <v>8</v>
      </c>
      <c r="B56" s="56" t="s">
        <v>92</v>
      </c>
      <c r="C56" s="57"/>
      <c r="D56" s="42">
        <v>360</v>
      </c>
      <c r="E56" s="58"/>
      <c r="F56" s="59" t="s">
        <v>93</v>
      </c>
    </row>
    <row r="58" spans="1:6">
      <c r="C58" s="14" t="s">
        <v>94</v>
      </c>
      <c r="D58" s="26">
        <f>SUM($D$29:$D$56)/60</f>
        <v>41.25</v>
      </c>
    </row>
    <row r="59" spans="1:6">
      <c r="C59" s="14" t="s">
        <v>95</v>
      </c>
      <c r="D59" s="27">
        <f>$D$58/6</f>
        <v>6.875</v>
      </c>
    </row>
    <row r="60" spans="1:6">
      <c r="D60" s="28"/>
    </row>
    <row r="61" spans="1:6">
      <c r="C61" s="22" t="s">
        <v>94</v>
      </c>
      <c r="D61" s="29">
        <f>SUM(D29+D32+D36+D40+D45+D49+D53)/60</f>
        <v>11.75</v>
      </c>
    </row>
    <row r="62" spans="1:6">
      <c r="C62" s="22" t="s">
        <v>95</v>
      </c>
      <c r="D62" s="30">
        <f>D61/6</f>
        <v>1.9583333333333333</v>
      </c>
    </row>
    <row r="63" spans="1:6">
      <c r="D63" s="28"/>
    </row>
    <row r="64" spans="1:6">
      <c r="C64" s="37" t="s">
        <v>94</v>
      </c>
      <c r="D64" s="38">
        <f>SUM(D55)/60</f>
        <v>18</v>
      </c>
    </row>
    <row r="65" spans="3:4">
      <c r="C65" s="37" t="s">
        <v>95</v>
      </c>
      <c r="D65" s="39">
        <f>D64/6</f>
        <v>3</v>
      </c>
    </row>
    <row r="66" spans="3:4">
      <c r="D66" s="28"/>
    </row>
    <row r="67" spans="3:4">
      <c r="C67" s="23" t="s">
        <v>94</v>
      </c>
      <c r="D67" s="31">
        <f>SUM(D35+D39+D43+D48+D52+D54)/60</f>
        <v>5</v>
      </c>
    </row>
    <row r="68" spans="3:4">
      <c r="C68" s="23" t="s">
        <v>95</v>
      </c>
      <c r="D68" s="32">
        <f>D67/6</f>
        <v>0.83333333333333337</v>
      </c>
    </row>
    <row r="69" spans="3:4">
      <c r="D69" s="28"/>
    </row>
    <row r="70" spans="3:4">
      <c r="C70" s="24" t="s">
        <v>94</v>
      </c>
      <c r="D70" s="33">
        <f>SUM(D56)/60</f>
        <v>6</v>
      </c>
    </row>
    <row r="71" spans="3:4">
      <c r="C71" s="24" t="s">
        <v>95</v>
      </c>
      <c r="D71" s="34">
        <f>D70/6</f>
        <v>1</v>
      </c>
    </row>
    <row r="72" spans="3:4">
      <c r="D72" s="28"/>
    </row>
    <row r="73" spans="3:4">
      <c r="C73" s="25" t="s">
        <v>94</v>
      </c>
      <c r="D73" s="35">
        <f>SUM(D44)/60</f>
        <v>0.5</v>
      </c>
    </row>
    <row r="74" spans="3:4">
      <c r="C74" s="25" t="s">
        <v>95</v>
      </c>
      <c r="D74" s="36">
        <f>D73/6</f>
        <v>8.3333333333333329E-2</v>
      </c>
    </row>
  </sheetData>
  <mergeCells count="22">
    <mergeCell ref="A45:A54"/>
    <mergeCell ref="D29:D31"/>
    <mergeCell ref="A29:A31"/>
    <mergeCell ref="A32:A35"/>
    <mergeCell ref="A36:A39"/>
    <mergeCell ref="A40:A43"/>
    <mergeCell ref="G29:G43"/>
    <mergeCell ref="D45:D47"/>
    <mergeCell ref="D49:D51"/>
    <mergeCell ref="D40:D42"/>
    <mergeCell ref="B32:B35"/>
    <mergeCell ref="B40:B43"/>
    <mergeCell ref="B36:B39"/>
    <mergeCell ref="D32:D34"/>
    <mergeCell ref="D36:D38"/>
    <mergeCell ref="F29:F31"/>
    <mergeCell ref="F32:F35"/>
    <mergeCell ref="F36:F39"/>
    <mergeCell ref="F40:F43"/>
    <mergeCell ref="F45:F54"/>
    <mergeCell ref="B45:B54"/>
    <mergeCell ref="B29:B31"/>
  </mergeCells>
  <hyperlinks>
    <hyperlink ref="A3" r:id="rId1" xr:uid="{EA20C1D7-1CB0-460C-8821-2B4F94A2A5C1}"/>
    <hyperlink ref="F29:F31" r:id="rId2" display="https://github.com/Javacream/com.evonik.dataprocessor.level2/tree/work_databases/entitymodel_and_relational/01-introduction" xr:uid="{62681B66-C435-49C5-AA92-99085BE5B6AC}"/>
    <hyperlink ref="F32:F35" r:id="rId3" display="https://github.com/Javacream/com.evonik.dataprocessor.level2/tree/work_databases/entitymodel_and_relational/02-entity-model" xr:uid="{70DA1201-7DD0-432E-87E9-7B1B20331B64}"/>
    <hyperlink ref="F36:F39" r:id="rId4" display="https://github.com/Javacream/com.evonik.dataprocessor.level2/tree/work_databases/entitymodel_and_relational/03-relations" xr:uid="{BA4548BD-AB11-4080-A9EE-88328EA162F2}"/>
    <hyperlink ref="F40:F43" r:id="rId5" display="https://github.com/Javacream/com.evonik.dataprocessor.level2/tree/work_databases/entitymodel_and_relational/04-ddl" xr:uid="{3A4BB402-3331-4A42-8727-82CF23079654}"/>
    <hyperlink ref="F44" r:id="rId6" xr:uid="{9E064A71-5896-46BE-A92E-05FE65E00E32}"/>
    <hyperlink ref="F45:F54" r:id="rId7" display="https://github.com/Javacream/com.evonik.dataprocessor.level2/tree/work_databases/entitymodel_and_relational/06-queries" xr:uid="{79B6182C-8064-45F1-B71F-E3BC8A847686}"/>
    <hyperlink ref="F55" r:id="rId8" xr:uid="{311AF3E4-ADA1-4C43-B9F7-30D35DDF646F}"/>
    <hyperlink ref="F56" r:id="rId9" xr:uid="{5526DA84-5B5D-4982-9495-724218FC351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TaxCatchAll xmlns="60706e3a-628a-464b-9a52-4dd6c9226f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7A32C49F98043A013FEBFBABC0102" ma:contentTypeVersion="20" ma:contentTypeDescription="Create a new document." ma:contentTypeScope="" ma:versionID="1bc34b89979c12a8e913bce4062918c4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168f9a7af18c8a638d29939a56d2e8e4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10470-4DC2-48AD-849E-C7FBBB1C44CC}"/>
</file>

<file path=customXml/itemProps2.xml><?xml version="1.0" encoding="utf-8"?>
<ds:datastoreItem xmlns:ds="http://schemas.openxmlformats.org/officeDocument/2006/customXml" ds:itemID="{AF286720-335A-48CE-B5E6-2E89501D05D8}"/>
</file>

<file path=customXml/itemProps3.xml><?xml version="1.0" encoding="utf-8"?>
<ds:datastoreItem xmlns:ds="http://schemas.openxmlformats.org/officeDocument/2006/customXml" ds:itemID="{FEE7AE08-7634-4B5E-A0E6-6DBB0EBC1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Rainer Sawitzki (Guest)</cp:lastModifiedBy>
  <cp:revision/>
  <dcterms:created xsi:type="dcterms:W3CDTF">2023-02-07T15:54:16Z</dcterms:created>
  <dcterms:modified xsi:type="dcterms:W3CDTF">2023-02-13T12:33:28Z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0x010100C547A32C49F98043A013FEBFBABC0102</vt:lpwstr>
  </property>
  <property fmtid="{D5CDD505-2E9C-101B-9397-08002B2CF9AE}" pid="3" name="MediaServiceImageTags">
    <vt:lpwstr/>
  </property>
</Properties>
</file>