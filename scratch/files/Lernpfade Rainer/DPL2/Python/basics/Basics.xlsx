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defaultThemeVersion="166925"/>
  <xr:revisionPtr revIDLastSave="1345" documentId="11_C1EBF633DDB7D7A112133633C418D2608346867D" xr6:coauthVersionLast="47" xr6:coauthVersionMax="47" xr10:uidLastSave="{F3FC1537-9B8B-4659-8B6C-40BDD866F080}"/>
  <bookViews>
    <workbookView xWindow="240" yWindow="105" windowWidth="14805" windowHeight="8010" firstSheet="1" activeTab="4" xr2:uid="{00000000-000D-0000-FFFF-FFFF00000000}"/>
  </bookViews>
  <sheets>
    <sheet name="Basics" sheetId="1" r:id="rId1"/>
    <sheet name="Lily - 01" sheetId="2" r:id="rId2"/>
    <sheet name="Lily - 02" sheetId="3" r:id="rId3"/>
    <sheet name="Lily - 03" sheetId="4" r:id="rId4"/>
    <sheet name="Lily - 04" sheetId="5" r:id="rId5"/>
    <sheet name="Lily - 05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D94" i="1"/>
  <c r="D95" i="1"/>
  <c r="D91" i="1"/>
  <c r="D92" i="1"/>
  <c r="D88" i="1"/>
  <c r="D89" i="1"/>
  <c r="D86" i="1"/>
  <c r="D82" i="1"/>
  <c r="D83" i="1" s="1"/>
  <c r="D79" i="1"/>
  <c r="D80" i="1" s="1"/>
  <c r="A30" i="1"/>
  <c r="A33" i="1"/>
  <c r="A37" i="1"/>
  <c r="A41" i="1"/>
  <c r="A42" i="1" s="1"/>
  <c r="A44" i="1" s="1"/>
  <c r="A51" i="1" s="1"/>
  <c r="A52" i="1"/>
  <c r="A57" i="1" l="1"/>
  <c r="A60" i="1" s="1"/>
  <c r="A63" i="1" s="1"/>
  <c r="A66" i="1" s="1"/>
  <c r="A69" i="1" s="1"/>
  <c r="A73" i="1" s="1"/>
</calcChain>
</file>

<file path=xl/sharedStrings.xml><?xml version="1.0" encoding="utf-8"?>
<sst xmlns="http://schemas.openxmlformats.org/spreadsheetml/2006/main" count="259" uniqueCount="199">
  <si>
    <t>Name</t>
  </si>
  <si>
    <t>Learning Python</t>
  </si>
  <si>
    <t>classroom sessions including supported exercises</t>
  </si>
  <si>
    <t>Keywords</t>
  </si>
  <si>
    <t>programming,python,basics</t>
  </si>
  <si>
    <t>external resource</t>
  </si>
  <si>
    <t>Trainerprofile</t>
  </si>
  <si>
    <t>exercise</t>
  </si>
  <si>
    <t>assert that participants</t>
  </si>
  <si>
    <t>project work</t>
  </si>
  <si>
    <t>have the need to learn a programming language</t>
  </si>
  <si>
    <t>video or animation or animated presentation</t>
  </si>
  <si>
    <t>are motivated to learn a programming language</t>
  </si>
  <si>
    <t>are able to access a working python environment</t>
  </si>
  <si>
    <t>participants expect to</t>
  </si>
  <si>
    <t>get knowledge about the basic prinicpals of programming</t>
  </si>
  <si>
    <t xml:space="preserve">learn to solve problems using a structured workflow </t>
  </si>
  <si>
    <t>work with variables, operators, functions and control structures</t>
  </si>
  <si>
    <t>learn how to test and execute python code</t>
  </si>
  <si>
    <t>learn the principles of object oriented programming</t>
  </si>
  <si>
    <t>learn how to work as a developer using tools</t>
  </si>
  <si>
    <t>learn how to use resources like online documentation or inline help</t>
  </si>
  <si>
    <t>participants do not expect to</t>
  </si>
  <si>
    <t>access a (relational) database</t>
  </si>
  <si>
    <t>implement a web service</t>
  </si>
  <si>
    <t>implement a graphical user interface or a web application</t>
  </si>
  <si>
    <t>do complex data manipulation, analysis or visualization</t>
  </si>
  <si>
    <t>skill</t>
  </si>
  <si>
    <t>basic python developer</t>
  </si>
  <si>
    <t>Content</t>
  </si>
  <si>
    <t>nr</t>
  </si>
  <si>
    <t>title</t>
  </si>
  <si>
    <t>topics</t>
  </si>
  <si>
    <t>duration  [min]</t>
  </si>
  <si>
    <t>labels</t>
  </si>
  <si>
    <t>detail</t>
  </si>
  <si>
    <t>introduction</t>
  </si>
  <si>
    <t>where are we, where do I want you to go?</t>
  </si>
  <si>
    <t>https://github.com/Javacream/com.evonik.dataprocessor.level2/tree/work_python/basics/01-introduction</t>
  </si>
  <si>
    <t>login to your python environment</t>
  </si>
  <si>
    <t>your first program: print("Hello World!")</t>
  </si>
  <si>
    <t>python first contact</t>
  </si>
  <si>
    <t>variables and assignement</t>
  </si>
  <si>
    <t>variables</t>
  </si>
  <si>
    <t>https://github.com/Javacream/com.evonik.dataprocessor.level2/tree/work_python/basics/02-first_contact</t>
  </si>
  <si>
    <t>introduce operators</t>
  </si>
  <si>
    <t>operators</t>
  </si>
  <si>
    <t>python datatypes</t>
  </si>
  <si>
    <t>datatypes</t>
  </si>
  <si>
    <t>tips &amp; tricks</t>
  </si>
  <si>
    <t>syntax highlighting</t>
  </si>
  <si>
    <t>https://github.com/Javacream/com.evonik.dataprocessor.level2/tree/work_python/basics/03-tipps_and_tricks</t>
  </si>
  <si>
    <t>code assist</t>
  </si>
  <si>
    <t>online documentation</t>
  </si>
  <si>
    <t>debugger</t>
  </si>
  <si>
    <t>boolean algebra and control flow</t>
  </si>
  <si>
    <t>introduce the dataype boolean</t>
  </si>
  <si>
    <t>control structures</t>
  </si>
  <si>
    <t>https://github.com/Javacream/com.evonik.dataprocessor.level2/tree/work_python/basics/04-boolean_algebra_and_if_else</t>
  </si>
  <si>
    <t>boolean algebra, AND, OR, NOT</t>
  </si>
  <si>
    <t>if-else</t>
  </si>
  <si>
    <t>use if-else</t>
  </si>
  <si>
    <t>learn to use pattern matching</t>
  </si>
  <si>
    <t>match</t>
  </si>
  <si>
    <t>greeter</t>
  </si>
  <si>
    <t>implement a greeter application</t>
  </si>
  <si>
    <t>https://github.com/Javacream/com.evonik.dataprocessor.level2/tree/work_python/basics/05-greeter</t>
  </si>
  <si>
    <t>functions</t>
  </si>
  <si>
    <t>the DRY-principle: why functions are necessary to write clean code</t>
  </si>
  <si>
    <t>https://github.com/Javacream/com.evonik.dataprocessor.level2/tree/work_python/basics/06-functions</t>
  </si>
  <si>
    <t>function declaration: name, parameter, returning values</t>
  </si>
  <si>
    <t>parameters</t>
  </si>
  <si>
    <t>data containers</t>
  </si>
  <si>
    <t>lists</t>
  </si>
  <si>
    <t>list</t>
  </si>
  <si>
    <t>https://github.com/Javacream/com.evonik.dataprocessor.level2/tree/work_python/basics/07-data_containers</t>
  </si>
  <si>
    <t>the dot-operator</t>
  </si>
  <si>
    <t>dictionary</t>
  </si>
  <si>
    <t>dictionaries</t>
  </si>
  <si>
    <t>.-operator</t>
  </si>
  <si>
    <t>iteration with foreach and lambda-expressions</t>
  </si>
  <si>
    <t>foreach</t>
  </si>
  <si>
    <t>using functions to work with collections</t>
  </si>
  <si>
    <t>lambda</t>
  </si>
  <si>
    <t>take a look at the other collections: set, tuple, range</t>
  </si>
  <si>
    <t>set, tuple, range</t>
  </si>
  <si>
    <t>review functions: variable keyworded arguments</t>
  </si>
  <si>
    <t>*args, **kwargs</t>
  </si>
  <si>
    <t>address book application</t>
  </si>
  <si>
    <t>implement an address book</t>
  </si>
  <si>
    <t>set</t>
  </si>
  <si>
    <t>https://github.com/Javacream/com.evonik.dataprocessor.level2/tree/work_python/basics/08-address_book</t>
  </si>
  <si>
    <t>oop</t>
  </si>
  <si>
    <t>classes as custom data structures</t>
  </si>
  <si>
    <t>object</t>
  </si>
  <si>
    <t>https://github.com/Javacream/com.evonik.dataprocessor.level2/tree/work_python/basics/09-oop</t>
  </si>
  <si>
    <t>references and objects</t>
  </si>
  <si>
    <t>reference</t>
  </si>
  <si>
    <t>methods and self</t>
  </si>
  <si>
    <t>class</t>
  </si>
  <si>
    <t>constructors</t>
  </si>
  <si>
    <t>stack and heap</t>
  </si>
  <si>
    <t>multi-inheritance and mixins</t>
  </si>
  <si>
    <t>people application</t>
  </si>
  <si>
    <t>take a look at the Unified Modelling Language (UML)</t>
  </si>
  <si>
    <t>https://github.com/Javacream/com.evonik.dataprocessor.level2/tree/work_python/basics/10-people_application</t>
  </si>
  <si>
    <t>use class diagrams to create a model of your application</t>
  </si>
  <si>
    <t>implement the people application</t>
  </si>
  <si>
    <t>python standard library</t>
  </si>
  <si>
    <t>string functions</t>
  </si>
  <si>
    <t>https://github.com/Javacream/com.evonik.dataprocessor.level2/tree/work_python/basics/11-python_standard_library</t>
  </si>
  <si>
    <t>advanced collection features, splitting, list comprehensions</t>
  </si>
  <si>
    <t>working with dates</t>
  </si>
  <si>
    <t>handling errors</t>
  </si>
  <si>
    <t>try except</t>
  </si>
  <si>
    <t>try</t>
  </si>
  <si>
    <t>https://github.com/Javacream/com.evonik.dataprocessor.level2/tree/work_python/basics/12-handling_errors</t>
  </si>
  <si>
    <t>raise an exception</t>
  </si>
  <si>
    <t>except</t>
  </si>
  <si>
    <t>else and finally</t>
  </si>
  <si>
    <t>raise</t>
  </si>
  <si>
    <t>reading and writing files</t>
  </si>
  <si>
    <t>read a nd write a local file</t>
  </si>
  <si>
    <t>open</t>
  </si>
  <si>
    <t>https://github.com/Javacream/com.evonik.dataprocessor.level2/tree/work_python/basics/13-reading_and_writing_files</t>
  </si>
  <si>
    <t>Context Manager and with-statement</t>
  </si>
  <si>
    <t>file access</t>
  </si>
  <si>
    <t>json</t>
  </si>
  <si>
    <t>workshop</t>
  </si>
  <si>
    <t>introduce the use case and definition of done</t>
  </si>
  <si>
    <t>https://github.com/Javacream/com.evonik.dataprocessor.level2/tree/work_python/basics/14-workshop</t>
  </si>
  <si>
    <t>create a class diagram</t>
  </si>
  <si>
    <t>implement the application</t>
  </si>
  <si>
    <t>verify the application</t>
  </si>
  <si>
    <t>advanced features</t>
  </si>
  <si>
    <t>learn about modules and pip</t>
  </si>
  <si>
    <t>https://github.com/Javacream/com.evonik.dataprocessor.level2/tree/work_python/basics/15-advanced_features</t>
  </si>
  <si>
    <t>encode and decode objects using pickle</t>
  </si>
  <si>
    <t>learn the advantages and disadvantages of a type system</t>
  </si>
  <si>
    <t>learn dynamic vs static programming languages and why python is dynamic</t>
  </si>
  <si>
    <t xml:space="preserve">use unittest </t>
  </si>
  <si>
    <t>Total Time [h]</t>
  </si>
  <si>
    <t>Total Time [days]</t>
  </si>
  <si>
    <t>Part</t>
  </si>
  <si>
    <t>Type</t>
  </si>
  <si>
    <t>Resource or Text</t>
  </si>
  <si>
    <t>Duration</t>
  </si>
  <si>
    <t>Points</t>
  </si>
  <si>
    <t>Remarks</t>
  </si>
  <si>
    <t>Introduction</t>
  </si>
  <si>
    <t>Image</t>
  </si>
  <si>
    <t>Python_Basics-01-Motivation.pptx</t>
  </si>
  <si>
    <t>Survey and Expectations</t>
  </si>
  <si>
    <t>Quiz</t>
  </si>
  <si>
    <r>
      <rPr>
        <sz val="11"/>
        <color rgb="FF70AD47"/>
        <rFont val="Calibri"/>
      </rPr>
      <t xml:space="preserve">get knowledge about the basic prinicpals of programming
learn to solve problems using a structured workflow 
work with variables, operators, functions and control structures
learn how to test and execute python code
learn the principles of object oriented programming
learn how to work as a developer using tools
learn how to use resources like online documentation or inline help
</t>
    </r>
    <r>
      <rPr>
        <sz val="11"/>
        <color rgb="FFFF0000"/>
        <rFont val="Calibri"/>
      </rPr>
      <t>access a relational database
implement a web service
implement a graphical user interface or a web application</t>
    </r>
  </si>
  <si>
    <t>all answers yes/no. green +1, red -2, if score &gt; 4 training is recommended</t>
  </si>
  <si>
    <t>Learning Path</t>
  </si>
  <si>
    <t>Lernpfad grob Data Processor Level 2.png</t>
  </si>
  <si>
    <t>Login to your Python Environment</t>
  </si>
  <si>
    <t>Powtoon</t>
  </si>
  <si>
    <t>open a browser window and enter the following url
https:/&lt;jupyter_notebook&gt;
sign in using your provided credentials
check if you are able to log in
if not: contact jupyter support at &lt;---&gt;</t>
  </si>
  <si>
    <t>Your first Python Script</t>
  </si>
  <si>
    <t>navigate to Evonik-project - com.evonik.python - 01-introduction
open the file hello-world 
click on the In-cell containing the text print('Hello World')
press CTRL+Enter
check that a new Out-cell appears containing the text Hello World</t>
  </si>
  <si>
    <t>Solution / Demo</t>
  </si>
  <si>
    <t>Video</t>
  </si>
  <si>
    <t>hello_world-2023-02-15_21.06.20.mp4</t>
  </si>
  <si>
    <t>Lessons Learned</t>
  </si>
  <si>
    <r>
      <rPr>
        <sz val="11"/>
        <color rgb="FF70AD47"/>
        <rFont val="Calibri"/>
      </rPr>
      <t xml:space="preserve">know how to open a working python environment
</t>
    </r>
    <r>
      <rPr>
        <sz val="11"/>
        <color rgb="FFFF0000"/>
        <rFont val="Calibri"/>
      </rPr>
      <t xml:space="preserve">know how to train the sample data set to sing 'Helter Skelter'
</t>
    </r>
    <r>
      <rPr>
        <sz val="11"/>
        <color rgb="FF70AD47"/>
        <rFont val="Calibri"/>
      </rPr>
      <t xml:space="preserve">know how to open a jupyter notebook containing a line of python code
execute python code in a jupyter notebook
</t>
    </r>
    <r>
      <rPr>
        <sz val="11"/>
        <color rgb="FFFF0000"/>
        <rFont val="Calibri"/>
      </rPr>
      <t xml:space="preserve">use a jupyter notebook to format your disk
</t>
    </r>
    <r>
      <rPr>
        <sz val="11"/>
        <color rgb="FF70AD47"/>
        <rFont val="Calibri"/>
      </rPr>
      <t>view the results in an Out-cell</t>
    </r>
  </si>
  <si>
    <t>all answers yes/no. 
green +1, red -4. 
score must be +4 to proceed</t>
  </si>
  <si>
    <t>Sign up for the Python First Contact Session</t>
  </si>
  <si>
    <t>MS-Teams</t>
  </si>
  <si>
    <t>Exercise</t>
  </si>
  <si>
    <t>signup to your Jupyter environment
open notebook todo_variables_and_assignements
solve the provided exercises
verify that you are able to use informations from error messages to fix your code</t>
  </si>
  <si>
    <t>The exercise will be executed in the participant's python environment. How can we implement such a link in Lily?</t>
  </si>
  <si>
    <t>Evaluation</t>
  </si>
  <si>
    <t>Assignement</t>
  </si>
  <si>
    <t>Download your solution notebook and send it to your faciliator</t>
  </si>
  <si>
    <t>Solution</t>
  </si>
  <si>
    <t>Reading Document</t>
  </si>
  <si>
    <t>solution_first_contact.pdf</t>
  </si>
  <si>
    <t>Solution should be available on Jupyter, NOT as Lily resource</t>
  </si>
  <si>
    <t>SyntaxHighlighting.pptx</t>
  </si>
  <si>
    <t>BETA</t>
  </si>
  <si>
    <t>code_assist.gif</t>
  </si>
  <si>
    <t>debugging</t>
  </si>
  <si>
    <t>debugger.gif</t>
  </si>
  <si>
    <t>Sign up for the Python Boolean and Control Structures Session</t>
  </si>
  <si>
    <t>signup to your Jupyter environment
open notebook todo_if_else
solve the provided exercises</t>
  </si>
  <si>
    <t>Check your knowledge</t>
  </si>
  <si>
    <t>what is the precedence of boolean operators?
do brackets change the precedence?
does python interpret the integer values 1 / 0 as True / False
does it make a difference if you write true instead of True?</t>
  </si>
  <si>
    <r>
      <rPr>
        <sz val="11"/>
        <color rgb="FFFF0000"/>
        <rFont val="Calibri"/>
      </rPr>
      <t>all the same</t>
    </r>
    <r>
      <rPr>
        <sz val="11"/>
        <color rgb="FF000000"/>
        <rFont val="Calibri"/>
      </rPr>
      <t xml:space="preserve">, </t>
    </r>
    <r>
      <rPr>
        <sz val="11"/>
        <color rgb="FF70AD47"/>
        <rFont val="Calibri"/>
      </rPr>
      <t>or and not</t>
    </r>
    <r>
      <rPr>
        <sz val="11"/>
        <color rgb="FF000000"/>
        <rFont val="Calibri"/>
      </rPr>
      <t xml:space="preserve">, </t>
    </r>
    <r>
      <rPr>
        <sz val="11"/>
        <color rgb="FFFF0000"/>
        <rFont val="Calibri"/>
      </rPr>
      <t xml:space="preserve">not or and
</t>
    </r>
    <r>
      <rPr>
        <sz val="11"/>
        <color rgb="FF70AD47"/>
        <rFont val="Calibri"/>
      </rPr>
      <t>yes</t>
    </r>
    <r>
      <rPr>
        <sz val="11"/>
        <color rgb="FF000000"/>
        <rFont val="Calibri"/>
      </rPr>
      <t xml:space="preserve">/no
</t>
    </r>
    <r>
      <rPr>
        <sz val="11"/>
        <color rgb="FF70AD47"/>
        <rFont val="Calibri"/>
      </rPr>
      <t>yes</t>
    </r>
    <r>
      <rPr>
        <sz val="11"/>
        <color rgb="FF000000"/>
        <rFont val="Calibri"/>
      </rPr>
      <t xml:space="preserve">/no
</t>
    </r>
    <r>
      <rPr>
        <sz val="11"/>
        <color rgb="FF70AD47"/>
        <rFont val="Calibri"/>
      </rPr>
      <t>yes/</t>
    </r>
    <r>
      <rPr>
        <sz val="11"/>
        <color rgb="FF000000"/>
        <rFont val="Calibri"/>
      </rPr>
      <t>no</t>
    </r>
  </si>
  <si>
    <t>Pattern Matching</t>
  </si>
  <si>
    <t>External Resource</t>
  </si>
  <si>
    <t>https://python-course.eu/python-tutorial/structural-pattern-matching.php</t>
  </si>
  <si>
    <t>prepare a small presentation (2 sheets max!) "if-else vs pattern matching" that shows 2 representative examples to demonstrate when to use what kind of control structure and send it to yout faciliator</t>
  </si>
  <si>
    <t xml:space="preserve">
what happens, if you remove the indents?
is there a keyword like endif in Python? why not?</t>
  </si>
  <si>
    <r>
      <rPr>
        <sz val="11"/>
        <color rgb="FF000000"/>
        <rFont val="Calibri"/>
      </rPr>
      <t xml:space="preserve">code will be executed faster, </t>
    </r>
    <r>
      <rPr>
        <sz val="11"/>
        <color rgb="FF70AD47"/>
        <rFont val="Calibri"/>
      </rPr>
      <t>indentation error</t>
    </r>
    <r>
      <rPr>
        <sz val="11"/>
        <color rgb="FF000000"/>
        <rFont val="Calibri"/>
      </rPr>
      <t xml:space="preserve">, code is more readable
yes: fi, no, python uses curly brackets, no, </t>
    </r>
    <r>
      <rPr>
        <sz val="11"/>
        <color rgb="FF70AD47"/>
        <rFont val="Calibri"/>
      </rPr>
      <t>python uses indentation</t>
    </r>
  </si>
  <si>
    <t>Link</t>
  </si>
  <si>
    <t>https://github.com/Javacream/com.evonik.dataprocessor.level2/blob/work_python/basics/05-greeter/exercise.md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</si>
</sst>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  <font>
      <sz val="11"/>
      <color rgb="FF70AD47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4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Courier New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4" borderId="3" xfId="0" applyFill="1" applyBorder="1"/>
    <xf numFmtId="0" fontId="0" fillId="4" borderId="5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0" xfId="0" applyFill="1"/>
    <xf numFmtId="0" fontId="0" fillId="7" borderId="5" xfId="0" applyFill="1" applyBorder="1"/>
    <xf numFmtId="0" fontId="0" fillId="6" borderId="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0" borderId="0" xfId="0" applyAlignment="1">
      <alignment wrapText="1"/>
    </xf>
    <xf numFmtId="0" fontId="0" fillId="7" borderId="7" xfId="0" applyFill="1" applyBorder="1"/>
    <xf numFmtId="0" fontId="0" fillId="7" borderId="8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10" xfId="0" applyFill="1" applyBorder="1"/>
    <xf numFmtId="0" fontId="3" fillId="7" borderId="0" xfId="0" applyFont="1" applyFill="1"/>
    <xf numFmtId="0" fontId="0" fillId="4" borderId="9" xfId="0" applyFill="1" applyBorder="1" applyAlignment="1">
      <alignment horizontal="left" vertical="center"/>
    </xf>
    <xf numFmtId="0" fontId="0" fillId="4" borderId="11" xfId="0" applyFill="1" applyBorder="1"/>
    <xf numFmtId="0" fontId="2" fillId="4" borderId="15" xfId="1" applyFill="1" applyBorder="1" applyAlignment="1">
      <alignment horizontal="left" vertical="center" wrapText="1"/>
    </xf>
    <xf numFmtId="0" fontId="1" fillId="8" borderId="1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3" xfId="0" applyFont="1" applyFill="1" applyBorder="1" applyAlignment="1">
      <alignment wrapText="1"/>
    </xf>
    <xf numFmtId="0" fontId="0" fillId="2" borderId="7" xfId="0" applyFill="1" applyBorder="1"/>
    <xf numFmtId="0" fontId="0" fillId="2" borderId="8" xfId="0" applyFill="1" applyBorder="1"/>
    <xf numFmtId="0" fontId="0" fillId="3" borderId="0" xfId="0" applyFill="1" applyAlignment="1">
      <alignment vertical="center"/>
    </xf>
    <xf numFmtId="0" fontId="0" fillId="4" borderId="15" xfId="0" applyFill="1" applyBorder="1" applyAlignment="1">
      <alignment horizontal="left" vertical="center"/>
    </xf>
    <xf numFmtId="0" fontId="0" fillId="4" borderId="10" xfId="0" applyFill="1" applyBorder="1" applyAlignment="1">
      <alignment horizontal="right" vertical="center"/>
    </xf>
    <xf numFmtId="0" fontId="0" fillId="3" borderId="0" xfId="0" applyFill="1" applyAlignment="1">
      <alignment wrapText="1"/>
    </xf>
    <xf numFmtId="0" fontId="1" fillId="7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2" borderId="0" xfId="0" applyFont="1" applyFill="1"/>
    <xf numFmtId="2" fontId="1" fillId="0" borderId="0" xfId="0" quotePrefix="1" applyNumberFormat="1" applyFont="1"/>
    <xf numFmtId="2" fontId="1" fillId="0" borderId="0" xfId="0" applyNumberFormat="1" applyFont="1"/>
    <xf numFmtId="2" fontId="0" fillId="0" borderId="0" xfId="0" applyNumberFormat="1"/>
    <xf numFmtId="2" fontId="1" fillId="7" borderId="0" xfId="0" quotePrefix="1" applyNumberFormat="1" applyFont="1" applyFill="1"/>
    <xf numFmtId="2" fontId="1" fillId="7" borderId="0" xfId="0" applyNumberFormat="1" applyFont="1" applyFill="1"/>
    <xf numFmtId="2" fontId="1" fillId="4" borderId="0" xfId="0" quotePrefix="1" applyNumberFormat="1" applyFont="1" applyFill="1"/>
    <xf numFmtId="2" fontId="1" fillId="4" borderId="0" xfId="0" applyNumberFormat="1" applyFont="1" applyFill="1"/>
    <xf numFmtId="2" fontId="1" fillId="6" borderId="0" xfId="0" quotePrefix="1" applyNumberFormat="1" applyFont="1" applyFill="1"/>
    <xf numFmtId="2" fontId="1" fillId="6" borderId="0" xfId="0" applyNumberFormat="1" applyFont="1" applyFill="1"/>
    <xf numFmtId="2" fontId="1" fillId="2" borderId="0" xfId="0" quotePrefix="1" applyNumberFormat="1" applyFont="1" applyFill="1"/>
    <xf numFmtId="2" fontId="1" fillId="2" borderId="0" xfId="0" applyNumberFormat="1" applyFont="1" applyFill="1"/>
    <xf numFmtId="0" fontId="0" fillId="2" borderId="2" xfId="0" applyFill="1" applyBorder="1" applyAlignment="1">
      <alignment vertical="center"/>
    </xf>
    <xf numFmtId="0" fontId="4" fillId="4" borderId="0" xfId="0" applyFont="1" applyFill="1"/>
    <xf numFmtId="0" fontId="1" fillId="3" borderId="0" xfId="0" applyFont="1" applyFill="1"/>
    <xf numFmtId="2" fontId="1" fillId="3" borderId="0" xfId="0" quotePrefix="1" applyNumberFormat="1" applyFont="1" applyFill="1"/>
    <xf numFmtId="2" fontId="1" fillId="3" borderId="0" xfId="0" applyNumberFormat="1" applyFont="1" applyFill="1"/>
    <xf numFmtId="0" fontId="0" fillId="0" borderId="0" xfId="0" quotePrefix="1"/>
    <xf numFmtId="0" fontId="2" fillId="0" borderId="0" xfId="1"/>
    <xf numFmtId="0" fontId="7" fillId="0" borderId="0" xfId="0" applyFont="1" applyAlignment="1">
      <alignment wrapText="1"/>
    </xf>
    <xf numFmtId="0" fontId="8" fillId="9" borderId="0" xfId="0" applyFont="1" applyFill="1" applyAlignment="1">
      <alignment wrapText="1"/>
    </xf>
    <xf numFmtId="0" fontId="8" fillId="10" borderId="0" xfId="0" applyFont="1" applyFill="1" applyAlignment="1">
      <alignment wrapText="1"/>
    </xf>
    <xf numFmtId="0" fontId="2" fillId="3" borderId="1" xfId="1" applyFill="1" applyBorder="1" applyAlignment="1">
      <alignment horizontal="left" vertical="center" wrapText="1"/>
    </xf>
    <xf numFmtId="0" fontId="2" fillId="3" borderId="4" xfId="1" applyFill="1" applyBorder="1" applyAlignment="1">
      <alignment horizontal="left" vertical="center" wrapText="1"/>
    </xf>
    <xf numFmtId="0" fontId="2" fillId="3" borderId="6" xfId="1" applyFill="1" applyBorder="1" applyAlignment="1">
      <alignment horizontal="left" vertical="center" wrapText="1"/>
    </xf>
    <xf numFmtId="0" fontId="2" fillId="6" borderId="4" xfId="1" applyFill="1" applyBorder="1" applyAlignment="1">
      <alignment horizontal="left" vertical="center" wrapText="1"/>
    </xf>
    <xf numFmtId="0" fontId="2" fillId="3" borderId="13" xfId="1" applyFill="1" applyBorder="1" applyAlignment="1">
      <alignment horizontal="left" vertical="center" wrapText="1"/>
    </xf>
    <xf numFmtId="0" fontId="2" fillId="3" borderId="14" xfId="1" applyFill="1" applyBorder="1" applyAlignment="1">
      <alignment horizontal="left" vertical="center" wrapText="1"/>
    </xf>
    <xf numFmtId="0" fontId="2" fillId="7" borderId="13" xfId="1" applyFill="1" applyBorder="1" applyAlignment="1">
      <alignment horizontal="left" vertical="center" wrapText="1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7" borderId="2" xfId="0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0" fillId="6" borderId="7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2" fillId="7" borderId="4" xfId="1" applyFill="1" applyBorder="1" applyAlignment="1">
      <alignment horizontal="left" vertical="center" wrapText="1"/>
    </xf>
    <xf numFmtId="0" fontId="2" fillId="7" borderId="1" xfId="1" applyFill="1" applyBorder="1" applyAlignment="1">
      <alignment horizontal="left" vertical="center" wrapText="1"/>
    </xf>
    <xf numFmtId="0" fontId="2" fillId="7" borderId="6" xfId="1" applyFill="1" applyBorder="1" applyAlignment="1">
      <alignment horizontal="left" vertical="center" wrapText="1"/>
    </xf>
    <xf numFmtId="0" fontId="0" fillId="7" borderId="7" xfId="0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7" xfId="0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7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2" fillId="5" borderId="12" xfId="1" applyFill="1" applyBorder="1" applyAlignment="1">
      <alignment horizontal="left" vertical="center" wrapText="1"/>
    </xf>
    <xf numFmtId="0" fontId="2" fillId="5" borderId="13" xfId="1" applyFill="1" applyBorder="1" applyAlignment="1">
      <alignment horizontal="left" vertical="center" wrapText="1"/>
    </xf>
    <xf numFmtId="0" fontId="2" fillId="2" borderId="12" xfId="1" applyFill="1" applyBorder="1" applyAlignment="1">
      <alignment vertical="center" wrapText="1"/>
    </xf>
    <xf numFmtId="0" fontId="2" fillId="2" borderId="13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2" fillId="7" borderId="14" xfId="1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/>
    </xf>
    <xf numFmtId="0" fontId="2" fillId="4" borderId="12" xfId="1" applyFill="1" applyBorder="1" applyAlignment="1">
      <alignment horizontal="left" vertical="center" wrapText="1"/>
    </xf>
    <xf numFmtId="0" fontId="2" fillId="4" borderId="13" xfId="1" applyFill="1" applyBorder="1" applyAlignment="1">
      <alignment horizontal="left" vertical="center" wrapText="1"/>
    </xf>
    <xf numFmtId="0" fontId="2" fillId="4" borderId="14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1" applyAlignment="1">
      <alignment wrapText="1"/>
    </xf>
    <xf numFmtId="0" fontId="10" fillId="0" borderId="0" xfId="0" applyFont="1" applyAlignment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vacream/com.evonik.python/tree/work_python/basics/15-advanced_features" TargetMode="External"/><Relationship Id="rId13" Type="http://schemas.openxmlformats.org/officeDocument/2006/relationships/hyperlink" Target="https://github.com/Javacream/com.evonik.python/tree/work_python/basics/12-handling_errors" TargetMode="External"/><Relationship Id="rId3" Type="http://schemas.openxmlformats.org/officeDocument/2006/relationships/hyperlink" Target="https://github.com/Javacream/com.evonik.python/tree/work_python/basics/04-boolean_algebra_and_if_else" TargetMode="External"/><Relationship Id="rId7" Type="http://schemas.openxmlformats.org/officeDocument/2006/relationships/hyperlink" Target="https://github.com/Javacream/com.evonik.python/tree/work_python/basics/07-data_containers" TargetMode="External"/><Relationship Id="rId12" Type="http://schemas.openxmlformats.org/officeDocument/2006/relationships/hyperlink" Target="https://github.com/Javacream/com.evonik.python/tree/work_python/basics/09-oop" TargetMode="External"/><Relationship Id="rId2" Type="http://schemas.openxmlformats.org/officeDocument/2006/relationships/hyperlink" Target="https://github.com/Javacream/com.evonik.python/tree/work_python/basics/05-greeter" TargetMode="External"/><Relationship Id="rId1" Type="http://schemas.openxmlformats.org/officeDocument/2006/relationships/hyperlink" Target="https://github.com/Javacream/com.evonik.python/tree/work_python/basics/06-functions" TargetMode="External"/><Relationship Id="rId6" Type="http://schemas.openxmlformats.org/officeDocument/2006/relationships/hyperlink" Target="https://github.com/Javacream/com.evonik.python/tree/work_python/basics/01-introduction" TargetMode="External"/><Relationship Id="rId11" Type="http://schemas.openxmlformats.org/officeDocument/2006/relationships/hyperlink" Target="https://github.com/Javacream/com.evonik.python/tree/work_python/basics/10-people_application" TargetMode="External"/><Relationship Id="rId5" Type="http://schemas.openxmlformats.org/officeDocument/2006/relationships/hyperlink" Target="https://github.com/Javacream/com.evonik.python/tree/work_python/basics/02-first_contact" TargetMode="External"/><Relationship Id="rId15" Type="http://schemas.openxmlformats.org/officeDocument/2006/relationships/hyperlink" Target="https://evonik.sharepoint.com/:x:/r/sites/dataevonik/Shared%20Documents/400%20Data%20Literacy%20and%20Culture/Project%20organization/60_Redaktionskonferenz/Lernpfade%20Rainer/DPL2/Python/Trainerprofile%20Data%20Processor%20Level%202%20Python.xlsx?d=w6977f1f24237426fb81cfa5f5ddaa97f&amp;csf=1&amp;web=1&amp;e=7IrwQR" TargetMode="External"/><Relationship Id="rId10" Type="http://schemas.openxmlformats.org/officeDocument/2006/relationships/hyperlink" Target="https://github.com/Javacream/com.evonik.python/tree/work_python/basics/11-python_standard_library" TargetMode="External"/><Relationship Id="rId4" Type="http://schemas.openxmlformats.org/officeDocument/2006/relationships/hyperlink" Target="https://github.com/Javacream/com.evonik.python/tree/work_python/basics/03-tipps_and_tricks" TargetMode="External"/><Relationship Id="rId9" Type="http://schemas.openxmlformats.org/officeDocument/2006/relationships/hyperlink" Target="https://github.com/Javacream/com.evonik.python/tree/work_python/basics/14-workshop" TargetMode="External"/><Relationship Id="rId14" Type="http://schemas.openxmlformats.org/officeDocument/2006/relationships/hyperlink" Target="https://github.com/Javacream/com.evonik.python/tree/work_python/basics/13-reading_and_writing_fil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vonik.sharepoint.com/:p:/r/sites/dataevonik/Shared%20Documents/400%20Data%20Literacy%20and%20Culture/Project%20organization/60_Redaktionskonferenz/Lernpfade%20Rainer/DPL2/Python/basics/resources/lily-03/CodeAssist.pptx?d=wc8ea3d2d6f034ed78398a7390e3bea9f&amp;csf=1&amp;web=1&amp;e=hrkxx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ython-course.eu/python-tutorial/structural-pattern-matching.ph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avacream/com.evonik.dataprocessor.level2/blob/work_python/basics/05-greeter/exercis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opLeftCell="A18" workbookViewId="0">
      <selection activeCell="F41" sqref="F41"/>
    </sheetView>
  </sheetViews>
  <sheetFormatPr defaultRowHeight="15"/>
  <cols>
    <col min="1" max="1" width="26.85546875" bestFit="1" customWidth="1"/>
    <col min="2" max="2" width="66.42578125" customWidth="1"/>
    <col min="3" max="3" width="58.42578125" customWidth="1"/>
    <col min="4" max="4" width="30.28515625" customWidth="1"/>
    <col min="5" max="5" width="18.85546875" bestFit="1" customWidth="1"/>
    <col min="6" max="6" width="55.28515625" style="25" customWidth="1"/>
    <col min="8" max="8" width="16.85546875" bestFit="1" customWidth="1"/>
  </cols>
  <sheetData>
    <row r="1" spans="1:6">
      <c r="A1" t="s">
        <v>0</v>
      </c>
      <c r="B1" t="s">
        <v>1</v>
      </c>
      <c r="C1" s="4" t="s">
        <v>2</v>
      </c>
    </row>
    <row r="2" spans="1:6">
      <c r="A2" t="s">
        <v>3</v>
      </c>
      <c r="B2" t="s">
        <v>4</v>
      </c>
      <c r="C2" s="2" t="s">
        <v>5</v>
      </c>
    </row>
    <row r="3" spans="1:6">
      <c r="A3" s="66" t="s">
        <v>6</v>
      </c>
      <c r="B3" s="66"/>
      <c r="C3" s="3" t="s">
        <v>7</v>
      </c>
    </row>
    <row r="4" spans="1:6">
      <c r="A4" t="s">
        <v>8</v>
      </c>
      <c r="C4" s="5" t="s">
        <v>9</v>
      </c>
      <c r="E4" s="25"/>
    </row>
    <row r="5" spans="1:6">
      <c r="B5" t="s">
        <v>10</v>
      </c>
      <c r="C5" s="1" t="s">
        <v>11</v>
      </c>
      <c r="E5" s="25"/>
    </row>
    <row r="6" spans="1:6">
      <c r="B6" t="s">
        <v>12</v>
      </c>
      <c r="E6" s="25"/>
      <c r="F6"/>
    </row>
    <row r="7" spans="1:6">
      <c r="B7" t="s">
        <v>13</v>
      </c>
      <c r="E7" s="25"/>
      <c r="F7"/>
    </row>
    <row r="8" spans="1:6">
      <c r="A8" t="s">
        <v>14</v>
      </c>
      <c r="E8" s="25"/>
      <c r="F8"/>
    </row>
    <row r="9" spans="1:6">
      <c r="B9" t="s">
        <v>15</v>
      </c>
      <c r="E9" s="25"/>
      <c r="F9"/>
    </row>
    <row r="10" spans="1:6">
      <c r="B10" t="s">
        <v>16</v>
      </c>
      <c r="E10" s="25"/>
      <c r="F10"/>
    </row>
    <row r="11" spans="1:6">
      <c r="B11" t="s">
        <v>17</v>
      </c>
      <c r="E11" s="25"/>
      <c r="F11"/>
    </row>
    <row r="12" spans="1:6">
      <c r="B12" t="s">
        <v>18</v>
      </c>
      <c r="E12" s="25"/>
      <c r="F12"/>
    </row>
    <row r="13" spans="1:6">
      <c r="B13" t="s">
        <v>19</v>
      </c>
      <c r="E13" s="25"/>
      <c r="F13"/>
    </row>
    <row r="14" spans="1:6">
      <c r="B14" t="s">
        <v>20</v>
      </c>
      <c r="E14" s="25"/>
      <c r="F14"/>
    </row>
    <row r="15" spans="1:6">
      <c r="B15" t="s">
        <v>21</v>
      </c>
      <c r="E15" s="25"/>
      <c r="F15"/>
    </row>
    <row r="16" spans="1:6">
      <c r="A16" t="s">
        <v>22</v>
      </c>
      <c r="E16" s="25"/>
      <c r="F16"/>
    </row>
    <row r="17" spans="1:6">
      <c r="B17" t="s">
        <v>23</v>
      </c>
      <c r="E17" s="25"/>
      <c r="F17"/>
    </row>
    <row r="18" spans="1:6">
      <c r="B18" t="s">
        <v>24</v>
      </c>
      <c r="C18" s="65"/>
      <c r="E18" s="25"/>
      <c r="F18"/>
    </row>
    <row r="19" spans="1:6">
      <c r="B19" t="s">
        <v>25</v>
      </c>
      <c r="E19" s="25"/>
      <c r="F19"/>
    </row>
    <row r="20" spans="1:6">
      <c r="B20" t="s">
        <v>26</v>
      </c>
      <c r="E20" s="25"/>
      <c r="F20"/>
    </row>
    <row r="21" spans="1:6">
      <c r="E21" s="25"/>
      <c r="F21"/>
    </row>
    <row r="22" spans="1:6">
      <c r="A22" t="s">
        <v>27</v>
      </c>
      <c r="B22" t="s">
        <v>28</v>
      </c>
      <c r="E22" s="25"/>
      <c r="F22"/>
    </row>
    <row r="23" spans="1:6">
      <c r="E23" s="25"/>
      <c r="F23"/>
    </row>
    <row r="24" spans="1:6">
      <c r="A24" t="s">
        <v>29</v>
      </c>
      <c r="E24" s="25"/>
      <c r="F24"/>
    </row>
    <row r="26" spans="1:6" s="21" customFormat="1">
      <c r="A26" s="35" t="s">
        <v>30</v>
      </c>
      <c r="B26" s="35" t="s">
        <v>31</v>
      </c>
      <c r="C26" s="36" t="s">
        <v>32</v>
      </c>
      <c r="D26" s="36" t="s">
        <v>33</v>
      </c>
      <c r="E26" s="37" t="s">
        <v>34</v>
      </c>
      <c r="F26" s="38" t="s">
        <v>35</v>
      </c>
    </row>
    <row r="27" spans="1:6">
      <c r="A27" s="115">
        <v>1</v>
      </c>
      <c r="B27" s="91" t="s">
        <v>36</v>
      </c>
      <c r="C27" s="6" t="s">
        <v>37</v>
      </c>
      <c r="D27" s="77">
        <v>45</v>
      </c>
      <c r="E27" s="7"/>
      <c r="F27" s="102" t="s">
        <v>38</v>
      </c>
    </row>
    <row r="28" spans="1:6">
      <c r="A28" s="116"/>
      <c r="B28" s="92"/>
      <c r="C28" s="4" t="s">
        <v>39</v>
      </c>
      <c r="D28" s="78"/>
      <c r="E28" s="8"/>
      <c r="F28" s="103"/>
    </row>
    <row r="29" spans="1:6">
      <c r="A29" s="116"/>
      <c r="B29" s="92"/>
      <c r="C29" s="4" t="s">
        <v>40</v>
      </c>
      <c r="D29" s="78"/>
      <c r="E29" s="8"/>
      <c r="F29" s="103"/>
    </row>
    <row r="30" spans="1:6" ht="15" customHeight="1">
      <c r="A30" s="115">
        <f>A27+1</f>
        <v>2</v>
      </c>
      <c r="B30" s="91" t="s">
        <v>41</v>
      </c>
      <c r="C30" s="6" t="s">
        <v>42</v>
      </c>
      <c r="D30" s="77">
        <v>60</v>
      </c>
      <c r="E30" s="7" t="s">
        <v>43</v>
      </c>
      <c r="F30" s="102" t="s">
        <v>44</v>
      </c>
    </row>
    <row r="31" spans="1:6">
      <c r="A31" s="116"/>
      <c r="B31" s="92"/>
      <c r="C31" s="4" t="s">
        <v>45</v>
      </c>
      <c r="D31" s="78"/>
      <c r="E31" s="8" t="s">
        <v>46</v>
      </c>
      <c r="F31" s="103"/>
    </row>
    <row r="32" spans="1:6">
      <c r="A32" s="116"/>
      <c r="B32" s="92"/>
      <c r="C32" s="4" t="s">
        <v>47</v>
      </c>
      <c r="D32" s="78"/>
      <c r="E32" s="8" t="s">
        <v>48</v>
      </c>
      <c r="F32" s="103"/>
    </row>
    <row r="33" spans="1:6" ht="15" customHeight="1">
      <c r="A33" s="117">
        <f>A30+1</f>
        <v>3</v>
      </c>
      <c r="B33" s="96" t="s">
        <v>49</v>
      </c>
      <c r="C33" s="22" t="s">
        <v>50</v>
      </c>
      <c r="D33" s="93">
        <v>60</v>
      </c>
      <c r="E33" s="23"/>
      <c r="F33" s="104" t="s">
        <v>51</v>
      </c>
    </row>
    <row r="34" spans="1:6">
      <c r="A34" s="118"/>
      <c r="B34" s="97"/>
      <c r="C34" s="1" t="s">
        <v>52</v>
      </c>
      <c r="D34" s="94"/>
      <c r="E34" s="24"/>
      <c r="F34" s="105"/>
    </row>
    <row r="35" spans="1:6">
      <c r="A35" s="118"/>
      <c r="B35" s="97"/>
      <c r="C35" s="1" t="s">
        <v>53</v>
      </c>
      <c r="D35" s="94"/>
      <c r="E35" s="24"/>
      <c r="F35" s="105"/>
    </row>
    <row r="36" spans="1:6">
      <c r="A36" s="119"/>
      <c r="B36" s="98"/>
      <c r="C36" s="39" t="s">
        <v>54</v>
      </c>
      <c r="D36" s="95"/>
      <c r="E36" s="40"/>
      <c r="F36" s="106"/>
    </row>
    <row r="37" spans="1:6" ht="15" customHeight="1">
      <c r="A37" s="116">
        <f>A33+1</f>
        <v>4</v>
      </c>
      <c r="B37" s="92" t="s">
        <v>55</v>
      </c>
      <c r="C37" s="4" t="s">
        <v>56</v>
      </c>
      <c r="D37" s="77">
        <v>60</v>
      </c>
      <c r="E37" s="8" t="s">
        <v>57</v>
      </c>
      <c r="F37" s="103" t="s">
        <v>58</v>
      </c>
    </row>
    <row r="38" spans="1:6">
      <c r="A38" s="116"/>
      <c r="B38" s="92"/>
      <c r="C38" s="4" t="s">
        <v>59</v>
      </c>
      <c r="D38" s="78"/>
      <c r="E38" s="8" t="s">
        <v>60</v>
      </c>
      <c r="F38" s="103"/>
    </row>
    <row r="39" spans="1:6">
      <c r="A39" s="116"/>
      <c r="B39" s="92"/>
      <c r="C39" s="4" t="s">
        <v>61</v>
      </c>
      <c r="D39" s="78"/>
      <c r="E39" s="8"/>
      <c r="F39" s="103"/>
    </row>
    <row r="40" spans="1:6">
      <c r="A40" s="116"/>
      <c r="B40" s="92"/>
      <c r="C40" s="2" t="s">
        <v>62</v>
      </c>
      <c r="D40" s="41">
        <v>60</v>
      </c>
      <c r="E40" s="18" t="s">
        <v>63</v>
      </c>
      <c r="F40" s="103"/>
    </row>
    <row r="41" spans="1:6" ht="45.75">
      <c r="A41" s="32">
        <f>A37+1</f>
        <v>5</v>
      </c>
      <c r="B41" s="32" t="s">
        <v>64</v>
      </c>
      <c r="C41" s="30" t="s">
        <v>65</v>
      </c>
      <c r="D41" s="30">
        <v>120</v>
      </c>
      <c r="E41" s="33"/>
      <c r="F41" s="34" t="s">
        <v>66</v>
      </c>
    </row>
    <row r="42" spans="1:6">
      <c r="A42" s="120">
        <f>A41+1</f>
        <v>6</v>
      </c>
      <c r="B42" s="99" t="s">
        <v>67</v>
      </c>
      <c r="C42" s="13" t="s">
        <v>68</v>
      </c>
      <c r="D42" s="80">
        <v>60</v>
      </c>
      <c r="E42" s="14" t="s">
        <v>67</v>
      </c>
      <c r="F42" s="76" t="s">
        <v>69</v>
      </c>
    </row>
    <row r="43" spans="1:6">
      <c r="A43" s="121"/>
      <c r="B43" s="108"/>
      <c r="C43" s="26" t="s">
        <v>70</v>
      </c>
      <c r="D43" s="90"/>
      <c r="E43" s="27" t="s">
        <v>71</v>
      </c>
      <c r="F43" s="107"/>
    </row>
    <row r="44" spans="1:6">
      <c r="A44" s="99">
        <f>A42+1</f>
        <v>7</v>
      </c>
      <c r="B44" s="99" t="s">
        <v>72</v>
      </c>
      <c r="C44" s="13" t="s">
        <v>73</v>
      </c>
      <c r="D44" s="79">
        <v>180</v>
      </c>
      <c r="E44" s="14" t="s">
        <v>74</v>
      </c>
      <c r="F44" s="76" t="s">
        <v>75</v>
      </c>
    </row>
    <row r="45" spans="1:6">
      <c r="A45" s="99"/>
      <c r="B45" s="99"/>
      <c r="C45" s="13" t="s">
        <v>76</v>
      </c>
      <c r="D45" s="80"/>
      <c r="E45" s="14" t="s">
        <v>77</v>
      </c>
      <c r="F45" s="76"/>
    </row>
    <row r="46" spans="1:6">
      <c r="A46" s="99"/>
      <c r="B46" s="99"/>
      <c r="C46" s="13" t="s">
        <v>78</v>
      </c>
      <c r="D46" s="80"/>
      <c r="E46" s="14" t="s">
        <v>79</v>
      </c>
      <c r="F46" s="76"/>
    </row>
    <row r="47" spans="1:6">
      <c r="A47" s="99"/>
      <c r="B47" s="99"/>
      <c r="C47" s="13" t="s">
        <v>80</v>
      </c>
      <c r="D47" s="80"/>
      <c r="E47" s="14" t="s">
        <v>81</v>
      </c>
      <c r="F47" s="76"/>
    </row>
    <row r="48" spans="1:6">
      <c r="A48" s="99"/>
      <c r="B48" s="99"/>
      <c r="C48" s="31" t="s">
        <v>82</v>
      </c>
      <c r="D48" s="80"/>
      <c r="E48" s="14" t="s">
        <v>83</v>
      </c>
      <c r="F48" s="76"/>
    </row>
    <row r="49" spans="1:6">
      <c r="A49" s="99"/>
      <c r="B49" s="99"/>
      <c r="C49" s="2" t="s">
        <v>84</v>
      </c>
      <c r="D49" s="85">
        <v>90</v>
      </c>
      <c r="E49" s="18" t="s">
        <v>85</v>
      </c>
      <c r="F49" s="76"/>
    </row>
    <row r="50" spans="1:6">
      <c r="A50" s="99"/>
      <c r="B50" s="99"/>
      <c r="C50" s="2" t="s">
        <v>86</v>
      </c>
      <c r="D50" s="86"/>
      <c r="E50" s="18" t="s">
        <v>87</v>
      </c>
      <c r="F50" s="76"/>
    </row>
    <row r="51" spans="1:6" ht="37.5" customHeight="1">
      <c r="A51" s="42">
        <f>A44+1</f>
        <v>8</v>
      </c>
      <c r="B51" s="32" t="s">
        <v>88</v>
      </c>
      <c r="C51" s="30" t="s">
        <v>89</v>
      </c>
      <c r="D51" s="43">
        <v>480</v>
      </c>
      <c r="E51" s="33" t="s">
        <v>90</v>
      </c>
      <c r="F51" s="34" t="s">
        <v>91</v>
      </c>
    </row>
    <row r="52" spans="1:6">
      <c r="A52" s="99">
        <f>A51+1</f>
        <v>9</v>
      </c>
      <c r="B52" s="99" t="s">
        <v>92</v>
      </c>
      <c r="C52" s="13" t="s">
        <v>93</v>
      </c>
      <c r="D52" s="79">
        <v>120</v>
      </c>
      <c r="E52" s="14" t="s">
        <v>94</v>
      </c>
      <c r="F52" s="87" t="s">
        <v>95</v>
      </c>
    </row>
    <row r="53" spans="1:6">
      <c r="A53" s="99"/>
      <c r="B53" s="99"/>
      <c r="C53" s="13" t="s">
        <v>96</v>
      </c>
      <c r="D53" s="80"/>
      <c r="E53" s="14" t="s">
        <v>97</v>
      </c>
      <c r="F53" s="87"/>
    </row>
    <row r="54" spans="1:6">
      <c r="A54" s="99"/>
      <c r="B54" s="99"/>
      <c r="C54" s="13" t="s">
        <v>98</v>
      </c>
      <c r="D54" s="80"/>
      <c r="E54" s="14" t="s">
        <v>99</v>
      </c>
      <c r="F54" s="87"/>
    </row>
    <row r="55" spans="1:6">
      <c r="A55" s="99"/>
      <c r="B55" s="99"/>
      <c r="C55" s="13" t="s">
        <v>100</v>
      </c>
      <c r="D55" s="80"/>
      <c r="E55" s="14" t="s">
        <v>101</v>
      </c>
      <c r="F55" s="87"/>
    </row>
    <row r="56" spans="1:6">
      <c r="A56" s="99"/>
      <c r="B56" s="99"/>
      <c r="C56" s="2" t="s">
        <v>102</v>
      </c>
      <c r="D56" s="41">
        <v>60</v>
      </c>
      <c r="E56" s="18"/>
      <c r="F56" s="87"/>
    </row>
    <row r="57" spans="1:6">
      <c r="A57" s="112">
        <f>A52+1</f>
        <v>10</v>
      </c>
      <c r="B57" s="112" t="s">
        <v>103</v>
      </c>
      <c r="C57" s="22" t="s">
        <v>104</v>
      </c>
      <c r="D57" s="60">
        <v>60</v>
      </c>
      <c r="E57" s="9"/>
      <c r="F57" s="109" t="s">
        <v>105</v>
      </c>
    </row>
    <row r="58" spans="1:6">
      <c r="A58" s="113"/>
      <c r="B58" s="113"/>
      <c r="C58" s="61" t="s">
        <v>106</v>
      </c>
      <c r="D58" s="81">
        <v>480</v>
      </c>
      <c r="E58" s="10"/>
      <c r="F58" s="110"/>
    </row>
    <row r="59" spans="1:6">
      <c r="A59" s="114"/>
      <c r="B59" s="114"/>
      <c r="C59" s="28" t="s">
        <v>107</v>
      </c>
      <c r="D59" s="82"/>
      <c r="E59" s="29"/>
      <c r="F59" s="111"/>
    </row>
    <row r="60" spans="1:6">
      <c r="A60" s="100">
        <f>A57+1</f>
        <v>11</v>
      </c>
      <c r="B60" s="100" t="s">
        <v>108</v>
      </c>
      <c r="C60" s="2" t="s">
        <v>109</v>
      </c>
      <c r="D60" s="85">
        <v>480</v>
      </c>
      <c r="E60" s="18"/>
      <c r="F60" s="74" t="s">
        <v>110</v>
      </c>
    </row>
    <row r="61" spans="1:6">
      <c r="A61" s="100"/>
      <c r="B61" s="100"/>
      <c r="C61" s="2" t="s">
        <v>111</v>
      </c>
      <c r="D61" s="85"/>
      <c r="E61" s="18"/>
      <c r="F61" s="74"/>
    </row>
    <row r="62" spans="1:6">
      <c r="A62" s="100"/>
      <c r="B62" s="101"/>
      <c r="C62" s="19" t="s">
        <v>112</v>
      </c>
      <c r="D62" s="86"/>
      <c r="E62" s="20"/>
      <c r="F62" s="75"/>
    </row>
    <row r="63" spans="1:6">
      <c r="A63" s="122">
        <f>A60+1</f>
        <v>12</v>
      </c>
      <c r="B63" s="99" t="s">
        <v>113</v>
      </c>
      <c r="C63" s="13" t="s">
        <v>114</v>
      </c>
      <c r="D63" s="80">
        <v>60</v>
      </c>
      <c r="E63" s="14" t="s">
        <v>115</v>
      </c>
      <c r="F63" s="88" t="s">
        <v>116</v>
      </c>
    </row>
    <row r="64" spans="1:6">
      <c r="A64" s="99"/>
      <c r="B64" s="99"/>
      <c r="C64" s="13" t="s">
        <v>117</v>
      </c>
      <c r="D64" s="80"/>
      <c r="E64" s="14" t="s">
        <v>118</v>
      </c>
      <c r="F64" s="87"/>
    </row>
    <row r="65" spans="1:6">
      <c r="A65" s="99"/>
      <c r="B65" s="99"/>
      <c r="C65" s="13" t="s">
        <v>119</v>
      </c>
      <c r="D65" s="80"/>
      <c r="E65" s="14" t="s">
        <v>120</v>
      </c>
      <c r="F65" s="87"/>
    </row>
    <row r="66" spans="1:6">
      <c r="A66" s="122">
        <f>A63+1</f>
        <v>13</v>
      </c>
      <c r="B66" s="122" t="s">
        <v>121</v>
      </c>
      <c r="C66" s="11" t="s">
        <v>122</v>
      </c>
      <c r="D66" s="79">
        <v>90</v>
      </c>
      <c r="E66" s="12" t="s">
        <v>123</v>
      </c>
      <c r="F66" s="88" t="s">
        <v>124</v>
      </c>
    </row>
    <row r="67" spans="1:6">
      <c r="A67" s="99"/>
      <c r="B67" s="99"/>
      <c r="C67" s="13" t="s">
        <v>125</v>
      </c>
      <c r="D67" s="80"/>
      <c r="E67" s="14" t="s">
        <v>126</v>
      </c>
      <c r="F67" s="87"/>
    </row>
    <row r="68" spans="1:6">
      <c r="A68" s="108"/>
      <c r="B68" s="108"/>
      <c r="C68" s="26" t="s">
        <v>127</v>
      </c>
      <c r="D68" s="90"/>
      <c r="E68" s="27" t="s">
        <v>127</v>
      </c>
      <c r="F68" s="89"/>
    </row>
    <row r="69" spans="1:6">
      <c r="A69" s="123">
        <f>A66+1</f>
        <v>14</v>
      </c>
      <c r="B69" s="123" t="s">
        <v>128</v>
      </c>
      <c r="C69" s="5" t="s">
        <v>129</v>
      </c>
      <c r="D69" s="83">
        <v>720</v>
      </c>
      <c r="E69" s="15"/>
      <c r="F69" s="73" t="s">
        <v>130</v>
      </c>
    </row>
    <row r="70" spans="1:6">
      <c r="A70" s="123"/>
      <c r="B70" s="123"/>
      <c r="C70" s="5" t="s">
        <v>131</v>
      </c>
      <c r="D70" s="83"/>
      <c r="E70" s="15"/>
      <c r="F70" s="73"/>
    </row>
    <row r="71" spans="1:6">
      <c r="A71" s="123"/>
      <c r="B71" s="123"/>
      <c r="C71" s="5" t="s">
        <v>132</v>
      </c>
      <c r="D71" s="83"/>
      <c r="E71" s="15"/>
      <c r="F71" s="73"/>
    </row>
    <row r="72" spans="1:6">
      <c r="A72" s="123"/>
      <c r="B72" s="123"/>
      <c r="C72" s="5" t="s">
        <v>133</v>
      </c>
      <c r="D72" s="84"/>
      <c r="E72" s="15"/>
      <c r="F72" s="73"/>
    </row>
    <row r="73" spans="1:6">
      <c r="A73" s="124">
        <f>A69+1</f>
        <v>15</v>
      </c>
      <c r="B73" s="124" t="s">
        <v>134</v>
      </c>
      <c r="C73" s="16" t="s">
        <v>135</v>
      </c>
      <c r="D73" s="16">
        <v>120</v>
      </c>
      <c r="E73" s="17"/>
      <c r="F73" s="70" t="s">
        <v>136</v>
      </c>
    </row>
    <row r="74" spans="1:6">
      <c r="A74" s="100"/>
      <c r="B74" s="100"/>
      <c r="C74" s="2" t="s">
        <v>137</v>
      </c>
      <c r="D74" s="2">
        <v>60</v>
      </c>
      <c r="E74" s="18"/>
      <c r="F74" s="71"/>
    </row>
    <row r="75" spans="1:6">
      <c r="A75" s="100"/>
      <c r="B75" s="100"/>
      <c r="C75" s="2" t="s">
        <v>138</v>
      </c>
      <c r="D75" s="2">
        <v>60</v>
      </c>
      <c r="E75" s="18"/>
      <c r="F75" s="71"/>
    </row>
    <row r="76" spans="1:6" ht="30.75">
      <c r="A76" s="100"/>
      <c r="B76" s="100"/>
      <c r="C76" s="44" t="s">
        <v>139</v>
      </c>
      <c r="D76" s="2">
        <v>60</v>
      </c>
      <c r="E76" s="18"/>
      <c r="F76" s="71"/>
    </row>
    <row r="77" spans="1:6">
      <c r="A77" s="101"/>
      <c r="B77" s="101"/>
      <c r="C77" s="19" t="s">
        <v>140</v>
      </c>
      <c r="D77" s="19">
        <v>480</v>
      </c>
      <c r="E77" s="20"/>
      <c r="F77" s="72"/>
    </row>
    <row r="79" spans="1:6">
      <c r="C79" s="21" t="s">
        <v>141</v>
      </c>
      <c r="D79" s="49">
        <f>SUM($D$27:$D$72)/60</f>
        <v>54.75</v>
      </c>
    </row>
    <row r="80" spans="1:6">
      <c r="C80" s="21" t="s">
        <v>142</v>
      </c>
      <c r="D80" s="50">
        <f>$D$79/6</f>
        <v>9.125</v>
      </c>
    </row>
    <row r="81" spans="3:4">
      <c r="D81" s="51"/>
    </row>
    <row r="82" spans="3:4">
      <c r="C82" s="45" t="s">
        <v>141</v>
      </c>
      <c r="D82" s="52">
        <f>SUM(D66+D63+D52+D44+D42+D37+D30+D27)/60</f>
        <v>11.25</v>
      </c>
    </row>
    <row r="83" spans="3:4">
      <c r="C83" s="45" t="s">
        <v>142</v>
      </c>
      <c r="D83" s="53">
        <f>D82/6</f>
        <v>1.875</v>
      </c>
    </row>
    <row r="84" spans="3:4">
      <c r="D84" s="51"/>
    </row>
    <row r="85" spans="3:4">
      <c r="C85" s="62" t="s">
        <v>141</v>
      </c>
      <c r="D85" s="63">
        <f>SUM(D77+D76+D75+D74+D73+D60+D49+D40+ D49)/60</f>
        <v>25</v>
      </c>
    </row>
    <row r="86" spans="3:4">
      <c r="C86" s="62" t="s">
        <v>142</v>
      </c>
      <c r="D86" s="64">
        <f>D85/6</f>
        <v>4.166666666666667</v>
      </c>
    </row>
    <row r="87" spans="3:4">
      <c r="D87" s="51"/>
    </row>
    <row r="88" spans="3:4">
      <c r="C88" s="46" t="s">
        <v>141</v>
      </c>
      <c r="D88" s="54">
        <f>SUM(D58+D51+D41)/60</f>
        <v>18</v>
      </c>
    </row>
    <row r="89" spans="3:4">
      <c r="C89" s="46" t="s">
        <v>142</v>
      </c>
      <c r="D89" s="55">
        <f>D88/6</f>
        <v>3</v>
      </c>
    </row>
    <row r="90" spans="3:4">
      <c r="D90" s="51"/>
    </row>
    <row r="91" spans="3:4">
      <c r="C91" s="47" t="s">
        <v>141</v>
      </c>
      <c r="D91" s="56">
        <f>SUM(D69)/60</f>
        <v>12</v>
      </c>
    </row>
    <row r="92" spans="3:4">
      <c r="C92" s="47" t="s">
        <v>142</v>
      </c>
      <c r="D92" s="57">
        <f>D91/6</f>
        <v>2</v>
      </c>
    </row>
    <row r="93" spans="3:4">
      <c r="D93" s="51"/>
    </row>
    <row r="94" spans="3:4">
      <c r="C94" s="48" t="s">
        <v>141</v>
      </c>
      <c r="D94" s="58">
        <f>SUM(D33+D57)/60</f>
        <v>2</v>
      </c>
    </row>
    <row r="95" spans="3:4">
      <c r="C95" s="48" t="s">
        <v>142</v>
      </c>
      <c r="D95" s="59">
        <f>D94/6</f>
        <v>0.33333333333333331</v>
      </c>
    </row>
  </sheetData>
  <mergeCells count="52">
    <mergeCell ref="A66:A68"/>
    <mergeCell ref="A69:A72"/>
    <mergeCell ref="A73:A77"/>
    <mergeCell ref="B69:B72"/>
    <mergeCell ref="B73:B77"/>
    <mergeCell ref="B66:B68"/>
    <mergeCell ref="A44:A50"/>
    <mergeCell ref="A52:A56"/>
    <mergeCell ref="A57:A59"/>
    <mergeCell ref="A60:A62"/>
    <mergeCell ref="A63:A65"/>
    <mergeCell ref="A27:A29"/>
    <mergeCell ref="A30:A32"/>
    <mergeCell ref="A33:A36"/>
    <mergeCell ref="A37:A40"/>
    <mergeCell ref="A42:A43"/>
    <mergeCell ref="B52:B56"/>
    <mergeCell ref="B60:B62"/>
    <mergeCell ref="B63:B65"/>
    <mergeCell ref="F27:F29"/>
    <mergeCell ref="F30:F32"/>
    <mergeCell ref="F33:F36"/>
    <mergeCell ref="F37:F40"/>
    <mergeCell ref="F42:F43"/>
    <mergeCell ref="B44:B50"/>
    <mergeCell ref="D42:D43"/>
    <mergeCell ref="B42:B43"/>
    <mergeCell ref="D60:D62"/>
    <mergeCell ref="F57:F59"/>
    <mergeCell ref="B57:B59"/>
    <mergeCell ref="B27:B29"/>
    <mergeCell ref="D27:D29"/>
    <mergeCell ref="B30:B32"/>
    <mergeCell ref="D30:D32"/>
    <mergeCell ref="B37:B40"/>
    <mergeCell ref="D33:D36"/>
    <mergeCell ref="B33:B36"/>
    <mergeCell ref="F73:F77"/>
    <mergeCell ref="F69:F72"/>
    <mergeCell ref="F60:F62"/>
    <mergeCell ref="F44:F50"/>
    <mergeCell ref="D37:D39"/>
    <mergeCell ref="D44:D48"/>
    <mergeCell ref="D58:D59"/>
    <mergeCell ref="D69:D72"/>
    <mergeCell ref="D52:D55"/>
    <mergeCell ref="D49:D50"/>
    <mergeCell ref="F52:F56"/>
    <mergeCell ref="F63:F65"/>
    <mergeCell ref="F66:F68"/>
    <mergeCell ref="D63:D65"/>
    <mergeCell ref="D66:D68"/>
  </mergeCells>
  <hyperlinks>
    <hyperlink ref="F42:F43" r:id="rId1" display="https://github.com/Javacream/com.evonik.python/tree/work_python/basics/06-functions" xr:uid="{2BB7CC7F-93EC-4CF8-B21D-3CD0AFB94705}"/>
    <hyperlink ref="F41" r:id="rId2" xr:uid="{EE7DFEC3-88EB-4AF3-8B6E-1CBBD781211F}"/>
    <hyperlink ref="F37:F40" r:id="rId3" display="https://github.com/Javacream/com.evonik.python/tree/work_python/basics/04-boolean_algebra_and_if_else" xr:uid="{70548225-5EE8-47D8-B9E8-F20020B0700B}"/>
    <hyperlink ref="F33:F36" r:id="rId4" display="https://github.com/Javacream/com.evonik.python/tree/work_python/basics/03-tipps_and_tricks" xr:uid="{F434C39E-8824-4503-9DDC-EC056872A31B}"/>
    <hyperlink ref="F30:F32" r:id="rId5" display="https://github.com/Javacream/com.evonik.python/tree/work_python/basics/02-first_contact" xr:uid="{691F95B8-56A7-4953-8D35-6EFC454EA1B7}"/>
    <hyperlink ref="F27:F29" r:id="rId6" display="https://github.com/Javacream/com.evonik.python/tree/work_python/basics/01-introduction" xr:uid="{4E91DDFB-0922-4A95-B18C-C2D0002EDF94}"/>
    <hyperlink ref="F44:F50" r:id="rId7" display="https://github.com/Javacream/com.evonik.python/tree/work_python/basics/07-data_containers" xr:uid="{834E5979-5B2C-4257-A471-B89822EFEC46}"/>
    <hyperlink ref="F73:F77" r:id="rId8" display="https://github.com/Javacream/com.evonik.python/tree/work_python/basics/15-advanced_features" xr:uid="{B5123A95-6530-4BC7-8C70-4DAF30F0EB01}"/>
    <hyperlink ref="F69:F72" r:id="rId9" display="https://github.com/Javacream/com.evonik.python/tree/work_python/basics/14-workshop" xr:uid="{C5065421-3386-455F-9166-24A2807E899B}"/>
    <hyperlink ref="F60:F62" r:id="rId10" display="https://github.com/Javacream/com.evonik.python/tree/work_python/basics/11-python_standard_library" xr:uid="{68D98CB1-CBF8-461E-A241-59F9D2CF7448}"/>
    <hyperlink ref="F57:F59" r:id="rId11" display="https://github.com/Javacream/com.evonik.python/tree/work_python/basics/10-people_application" xr:uid="{7FD615E7-7B80-4CA2-BFD6-60E0DB750DCF}"/>
    <hyperlink ref="F52:F56" r:id="rId12" display="https://github.com/Javacream/com.evonik.python/tree/work_python/basics/09-oop" xr:uid="{55B98C0C-4776-4C65-B2F9-4501403F2ACE}"/>
    <hyperlink ref="F63:F65" r:id="rId13" display="https://github.com/Javacream/com.evonik.python/tree/work_python/basics/12-handling_errors" xr:uid="{C82F350A-2AB9-4FA4-A0D3-40C7B454B82B}"/>
    <hyperlink ref="F66:F68" r:id="rId14" display="https://github.com/Javacream/com.evonik.python/tree/work_python/basics/13-reading_and_writing_files" xr:uid="{2221C62F-D1E8-42C7-B0AB-7F5F059374BC}"/>
    <hyperlink ref="A3" r:id="rId15" xr:uid="{EA20C1D7-1CB0-460C-8821-2B4F94A2A5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BD7B-E91A-4006-B32C-EF731C1C0860}">
  <dimension ref="A1:F8"/>
  <sheetViews>
    <sheetView workbookViewId="0"/>
  </sheetViews>
  <sheetFormatPr defaultRowHeight="15"/>
  <cols>
    <col min="1" max="1" width="39.42578125" style="25" customWidth="1"/>
    <col min="2" max="2" width="9.140625" style="25"/>
    <col min="3" max="3" width="63.85546875" style="25" customWidth="1"/>
    <col min="4" max="5" width="9.140625" style="25"/>
    <col min="6" max="6" width="27.5703125" style="25" customWidth="1"/>
    <col min="7" max="16384" width="9.140625" style="25"/>
  </cols>
  <sheetData>
    <row r="1" spans="1:6">
      <c r="A1" s="25" t="s">
        <v>143</v>
      </c>
      <c r="B1" s="25" t="s">
        <v>144</v>
      </c>
      <c r="C1" s="25" t="s">
        <v>145</v>
      </c>
      <c r="D1" s="25" t="s">
        <v>146</v>
      </c>
      <c r="E1" s="25" t="s">
        <v>147</v>
      </c>
      <c r="F1" s="25" t="s">
        <v>148</v>
      </c>
    </row>
    <row r="2" spans="1:6" ht="48.75" customHeight="1">
      <c r="A2" s="25" t="s">
        <v>149</v>
      </c>
      <c r="B2" s="25" t="s">
        <v>150</v>
      </c>
      <c r="C2" t="s">
        <v>151</v>
      </c>
      <c r="D2" s="25">
        <v>1</v>
      </c>
      <c r="E2" s="25">
        <v>1</v>
      </c>
    </row>
    <row r="3" spans="1:6" ht="152.25">
      <c r="A3" s="25" t="s">
        <v>152</v>
      </c>
      <c r="B3" s="25" t="s">
        <v>153</v>
      </c>
      <c r="C3" s="67" t="s">
        <v>154</v>
      </c>
      <c r="D3" s="25">
        <v>10</v>
      </c>
      <c r="E3" s="25">
        <v>1</v>
      </c>
      <c r="F3" s="25" t="s">
        <v>155</v>
      </c>
    </row>
    <row r="4" spans="1:6">
      <c r="A4" s="25" t="s">
        <v>156</v>
      </c>
      <c r="B4" s="25" t="s">
        <v>150</v>
      </c>
      <c r="C4" t="s">
        <v>157</v>
      </c>
      <c r="D4" s="25">
        <v>1</v>
      </c>
      <c r="E4" s="25">
        <v>1</v>
      </c>
    </row>
    <row r="5" spans="1:6" ht="76.5">
      <c r="A5" s="25" t="s">
        <v>158</v>
      </c>
      <c r="B5" s="25" t="s">
        <v>159</v>
      </c>
      <c r="C5" s="25" t="s">
        <v>160</v>
      </c>
      <c r="D5" s="25">
        <v>5</v>
      </c>
      <c r="E5" s="25">
        <v>1</v>
      </c>
    </row>
    <row r="6" spans="1:6" ht="80.25" customHeight="1">
      <c r="A6" s="25" t="s">
        <v>161</v>
      </c>
      <c r="B6" s="25" t="s">
        <v>159</v>
      </c>
      <c r="C6" s="25" t="s">
        <v>162</v>
      </c>
      <c r="D6" s="25">
        <v>5</v>
      </c>
      <c r="E6" s="25">
        <v>1</v>
      </c>
    </row>
    <row r="7" spans="1:6">
      <c r="A7" s="25" t="s">
        <v>163</v>
      </c>
      <c r="B7" s="25" t="s">
        <v>164</v>
      </c>
      <c r="C7" t="s">
        <v>165</v>
      </c>
      <c r="D7" s="25">
        <v>1</v>
      </c>
      <c r="E7" s="25">
        <v>1</v>
      </c>
    </row>
    <row r="8" spans="1:6" ht="91.5">
      <c r="A8" s="25" t="s">
        <v>166</v>
      </c>
      <c r="B8" s="25" t="s">
        <v>153</v>
      </c>
      <c r="C8" s="67" t="s">
        <v>167</v>
      </c>
      <c r="D8" s="25">
        <v>5</v>
      </c>
      <c r="E8" s="25">
        <v>1</v>
      </c>
      <c r="F8" s="25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5AE5-51F0-4E48-987D-FB5577953671}">
  <dimension ref="A1:F8"/>
  <sheetViews>
    <sheetView workbookViewId="0">
      <selection activeCell="A5" sqref="A5"/>
    </sheetView>
  </sheetViews>
  <sheetFormatPr defaultRowHeight="15"/>
  <cols>
    <col min="1" max="1" width="39.42578125" style="25" customWidth="1"/>
    <col min="2" max="2" width="14.28515625" style="25" customWidth="1"/>
    <col min="3" max="3" width="63.85546875" style="25" customWidth="1"/>
    <col min="4" max="5" width="9.140625" style="25"/>
    <col min="6" max="6" width="27.5703125" style="25" customWidth="1"/>
    <col min="7" max="16384" width="9.140625" style="25"/>
  </cols>
  <sheetData>
    <row r="1" spans="1:6">
      <c r="A1" s="25" t="s">
        <v>143</v>
      </c>
      <c r="B1" s="25" t="s">
        <v>144</v>
      </c>
      <c r="C1" s="25" t="s">
        <v>145</v>
      </c>
      <c r="D1" s="25" t="s">
        <v>146</v>
      </c>
      <c r="E1" s="25" t="s">
        <v>147</v>
      </c>
      <c r="F1" s="25" t="s">
        <v>148</v>
      </c>
    </row>
    <row r="2" spans="1:6" ht="48.75" customHeight="1">
      <c r="A2" s="25" t="s">
        <v>169</v>
      </c>
      <c r="B2" s="25" t="s">
        <v>170</v>
      </c>
      <c r="C2"/>
      <c r="D2" s="25">
        <v>60</v>
      </c>
      <c r="E2" s="25">
        <v>60</v>
      </c>
    </row>
    <row r="3" spans="1:6" ht="113.25">
      <c r="A3" s="25" t="s">
        <v>171</v>
      </c>
      <c r="C3" s="67" t="s">
        <v>172</v>
      </c>
      <c r="F3" s="69" t="s">
        <v>173</v>
      </c>
    </row>
    <row r="4" spans="1:6">
      <c r="A4" s="25" t="s">
        <v>174</v>
      </c>
      <c r="B4" s="25" t="s">
        <v>175</v>
      </c>
      <c r="C4" t="s">
        <v>176</v>
      </c>
    </row>
    <row r="5" spans="1:6" ht="57">
      <c r="A5" s="25" t="s">
        <v>177</v>
      </c>
      <c r="B5" s="25" t="s">
        <v>178</v>
      </c>
      <c r="C5" s="25" t="s">
        <v>179</v>
      </c>
      <c r="F5" s="68" t="s">
        <v>180</v>
      </c>
    </row>
    <row r="6" spans="1:6" ht="80.25" customHeight="1"/>
    <row r="7" spans="1:6">
      <c r="C7"/>
    </row>
    <row r="8" spans="1:6">
      <c r="C8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4919-A25C-4642-974C-F7356BEE163B}">
  <dimension ref="A1:F8"/>
  <sheetViews>
    <sheetView workbookViewId="0">
      <selection activeCell="A2" sqref="A2"/>
    </sheetView>
  </sheetViews>
  <sheetFormatPr defaultRowHeight="15"/>
  <cols>
    <col min="1" max="1" width="39.42578125" style="25" customWidth="1"/>
    <col min="2" max="2" width="9.140625" style="25"/>
    <col min="3" max="3" width="63.85546875" style="25" customWidth="1"/>
    <col min="4" max="5" width="9.140625" style="25"/>
    <col min="6" max="6" width="27.5703125" style="25" customWidth="1"/>
    <col min="7" max="16384" width="9.140625" style="25"/>
  </cols>
  <sheetData>
    <row r="1" spans="1:6">
      <c r="A1" s="25" t="s">
        <v>143</v>
      </c>
      <c r="B1" s="25" t="s">
        <v>144</v>
      </c>
      <c r="C1" s="25" t="s">
        <v>145</v>
      </c>
      <c r="D1" s="25" t="s">
        <v>146</v>
      </c>
      <c r="E1" s="25" t="s">
        <v>147</v>
      </c>
      <c r="F1" s="25" t="s">
        <v>148</v>
      </c>
    </row>
    <row r="2" spans="1:6" ht="48.75" customHeight="1">
      <c r="A2" s="25" t="s">
        <v>50</v>
      </c>
      <c r="B2" s="25" t="s">
        <v>150</v>
      </c>
      <c r="C2" s="66" t="s">
        <v>181</v>
      </c>
      <c r="D2" s="25">
        <v>1</v>
      </c>
      <c r="E2" s="25">
        <v>1</v>
      </c>
      <c r="F2" s="25" t="s">
        <v>182</v>
      </c>
    </row>
    <row r="3" spans="1:6">
      <c r="A3" s="25" t="s">
        <v>52</v>
      </c>
      <c r="B3" s="25" t="s">
        <v>150</v>
      </c>
      <c r="C3" s="67" t="s">
        <v>183</v>
      </c>
      <c r="D3" s="25">
        <v>1</v>
      </c>
      <c r="E3" s="25">
        <v>1</v>
      </c>
      <c r="F3" s="25" t="s">
        <v>182</v>
      </c>
    </row>
    <row r="4" spans="1:6">
      <c r="A4" s="25" t="s">
        <v>184</v>
      </c>
      <c r="B4" s="25" t="s">
        <v>150</v>
      </c>
      <c r="C4" t="s">
        <v>185</v>
      </c>
      <c r="D4" s="25">
        <v>1</v>
      </c>
      <c r="E4" s="25">
        <v>1</v>
      </c>
      <c r="F4" s="25" t="s">
        <v>182</v>
      </c>
    </row>
    <row r="6" spans="1:6" ht="80.25" customHeight="1"/>
    <row r="7" spans="1:6">
      <c r="C7"/>
    </row>
    <row r="8" spans="1:6">
      <c r="C8" s="67"/>
    </row>
  </sheetData>
  <hyperlinks>
    <hyperlink ref="C2" r:id="rId1" display="https://evonik.sharepoint.com/:p:/r/sites/dataevonik/Shared%20Documents/400%20Data%20Literacy%20and%20Culture/Project%20organization/60_Redaktionskonferenz/Lernpfade%20Rainer/DPL2/Python/basics/resources/lily-03/CodeAssist.pptx?d=wc8ea3d2d6f034ed78398a7390e3bea9f&amp;csf=1&amp;web=1&amp;e=hrkxxT" xr:uid="{0C76CB91-8234-486C-A470-26F7479F5EB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8E0A-B283-42DD-8E12-78F8109ED5D4}">
  <dimension ref="A1:F12"/>
  <sheetViews>
    <sheetView tabSelected="1" workbookViewId="0">
      <selection activeCell="A9" sqref="A9"/>
    </sheetView>
  </sheetViews>
  <sheetFormatPr defaultRowHeight="15"/>
  <cols>
    <col min="1" max="1" width="39.42578125" style="25" customWidth="1"/>
    <col min="2" max="2" width="14.28515625" style="25" customWidth="1"/>
    <col min="3" max="3" width="69.5703125" style="25" customWidth="1"/>
    <col min="4" max="5" width="9.140625" style="25"/>
    <col min="6" max="6" width="68.140625" style="25" customWidth="1"/>
    <col min="7" max="16384" width="9.140625" style="25"/>
  </cols>
  <sheetData>
    <row r="1" spans="1:6">
      <c r="A1" s="25" t="s">
        <v>143</v>
      </c>
      <c r="B1" s="25" t="s">
        <v>144</v>
      </c>
      <c r="C1" s="25" t="s">
        <v>145</v>
      </c>
      <c r="D1" s="25" t="s">
        <v>146</v>
      </c>
      <c r="E1" s="25" t="s">
        <v>147</v>
      </c>
      <c r="F1" s="25" t="s">
        <v>148</v>
      </c>
    </row>
    <row r="2" spans="1:6" ht="48.75" customHeight="1">
      <c r="A2" s="25" t="s">
        <v>186</v>
      </c>
      <c r="B2" s="25" t="s">
        <v>170</v>
      </c>
      <c r="C2"/>
      <c r="D2" s="25">
        <v>60</v>
      </c>
      <c r="E2" s="25">
        <v>60</v>
      </c>
    </row>
    <row r="3" spans="1:6" ht="45.75">
      <c r="A3" s="25" t="s">
        <v>171</v>
      </c>
      <c r="C3" s="67" t="s">
        <v>187</v>
      </c>
      <c r="D3" s="25">
        <v>1</v>
      </c>
      <c r="E3" s="25">
        <v>1</v>
      </c>
    </row>
    <row r="4" spans="1:6" ht="60.75">
      <c r="A4" s="25" t="s">
        <v>188</v>
      </c>
      <c r="B4" s="25" t="s">
        <v>153</v>
      </c>
      <c r="C4" s="67" t="s">
        <v>189</v>
      </c>
      <c r="F4" s="67" t="s">
        <v>190</v>
      </c>
    </row>
    <row r="5" spans="1:6">
      <c r="A5" s="25" t="s">
        <v>174</v>
      </c>
      <c r="B5" s="25" t="s">
        <v>175</v>
      </c>
      <c r="C5" t="s">
        <v>176</v>
      </c>
      <c r="D5" s="25">
        <v>1</v>
      </c>
      <c r="E5" s="25">
        <v>1</v>
      </c>
    </row>
    <row r="6" spans="1:6" ht="30.75">
      <c r="A6" s="25" t="s">
        <v>191</v>
      </c>
      <c r="B6" s="25" t="s">
        <v>192</v>
      </c>
      <c r="C6" s="125" t="s">
        <v>193</v>
      </c>
      <c r="D6" s="25">
        <v>1</v>
      </c>
      <c r="E6" s="25">
        <v>1</v>
      </c>
    </row>
    <row r="7" spans="1:6" ht="80.25" customHeight="1">
      <c r="A7" s="25" t="s">
        <v>174</v>
      </c>
      <c r="B7" s="25" t="s">
        <v>175</v>
      </c>
      <c r="C7" s="25" t="s">
        <v>194</v>
      </c>
      <c r="D7" s="25">
        <v>1</v>
      </c>
      <c r="E7" s="25">
        <v>1</v>
      </c>
    </row>
    <row r="8" spans="1:6" ht="45.75">
      <c r="A8" s="25" t="s">
        <v>188</v>
      </c>
      <c r="B8" s="25" t="s">
        <v>153</v>
      </c>
      <c r="C8" s="25" t="s">
        <v>195</v>
      </c>
      <c r="F8" s="67" t="s">
        <v>196</v>
      </c>
    </row>
    <row r="9" spans="1:6">
      <c r="C9" s="126"/>
    </row>
    <row r="10" spans="1:6">
      <c r="C10" s="126"/>
    </row>
    <row r="11" spans="1:6">
      <c r="C11"/>
    </row>
    <row r="12" spans="1:6">
      <c r="C12"/>
    </row>
  </sheetData>
  <hyperlinks>
    <hyperlink ref="C6" r:id="rId1" xr:uid="{F18E5B74-A946-41AD-943E-26D0890F175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6646-170E-47FC-8A14-9466C89F3C8F}">
  <dimension ref="A1:F7"/>
  <sheetViews>
    <sheetView workbookViewId="0">
      <selection activeCell="A2" sqref="A2"/>
    </sheetView>
  </sheetViews>
  <sheetFormatPr defaultRowHeight="15"/>
  <cols>
    <col min="1" max="1" width="39.42578125" style="25" customWidth="1"/>
    <col min="2" max="2" width="14.28515625" style="25" customWidth="1"/>
    <col min="3" max="3" width="63.85546875" style="25" customWidth="1"/>
    <col min="4" max="5" width="9.140625" style="25"/>
    <col min="6" max="6" width="27.5703125" style="25" customWidth="1"/>
    <col min="7" max="16384" width="9.140625" style="25"/>
  </cols>
  <sheetData>
    <row r="1" spans="1:6">
      <c r="A1" s="25" t="s">
        <v>143</v>
      </c>
      <c r="B1" s="25" t="s">
        <v>144</v>
      </c>
      <c r="C1" s="25" t="s">
        <v>145</v>
      </c>
      <c r="D1" s="25" t="s">
        <v>146</v>
      </c>
      <c r="E1" s="25" t="s">
        <v>147</v>
      </c>
      <c r="F1" s="25" t="s">
        <v>148</v>
      </c>
    </row>
    <row r="2" spans="1:6" ht="30.75">
      <c r="A2" s="25" t="s">
        <v>171</v>
      </c>
      <c r="B2" s="25" t="s">
        <v>197</v>
      </c>
      <c r="C2" s="125" t="s">
        <v>198</v>
      </c>
      <c r="D2" s="25">
        <v>1</v>
      </c>
      <c r="E2" s="25">
        <v>1</v>
      </c>
    </row>
    <row r="3" spans="1:6">
      <c r="A3" s="25" t="s">
        <v>174</v>
      </c>
      <c r="B3" s="25" t="s">
        <v>175</v>
      </c>
      <c r="C3" t="s">
        <v>176</v>
      </c>
      <c r="D3" s="25">
        <v>1</v>
      </c>
      <c r="E3" s="25">
        <v>1</v>
      </c>
    </row>
    <row r="4" spans="1:6">
      <c r="C4" s="125"/>
    </row>
    <row r="5" spans="1:6" ht="80.25" customHeight="1"/>
    <row r="6" spans="1:6">
      <c r="C6"/>
    </row>
    <row r="7" spans="1:6">
      <c r="C7" s="67"/>
    </row>
  </sheetData>
  <hyperlinks>
    <hyperlink ref="C2" r:id="rId1" xr:uid="{56A01CF9-6B37-43C4-A45C-C523214290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Props1.xml><?xml version="1.0" encoding="utf-8"?>
<ds:datastoreItem xmlns:ds="http://schemas.openxmlformats.org/officeDocument/2006/customXml" ds:itemID="{AF286720-335A-48CE-B5E6-2E89501D05D8}"/>
</file>

<file path=customXml/itemProps2.xml><?xml version="1.0" encoding="utf-8"?>
<ds:datastoreItem xmlns:ds="http://schemas.openxmlformats.org/officeDocument/2006/customXml" ds:itemID="{B354C094-D300-432D-874B-6F7B835F40B6}"/>
</file>

<file path=customXml/itemProps3.xml><?xml version="1.0" encoding="utf-8"?>
<ds:datastoreItem xmlns:ds="http://schemas.openxmlformats.org/officeDocument/2006/customXml" ds:itemID="{0CD10470-4DC2-48AD-849E-C7FBBB1C4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2023-02-07T15:54:16Z</dcterms:created>
  <dcterms:modified xsi:type="dcterms:W3CDTF">2023-02-16T20:34:28Z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