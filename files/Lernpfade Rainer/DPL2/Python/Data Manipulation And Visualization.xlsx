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12"/>
  <workbookPr defaultThemeVersion="166925"/>
  <xr:revisionPtr revIDLastSave="130" documentId="8_{C2FC13E2-41CD-4AEE-8F61-A79256F2F791}" xr6:coauthVersionLast="47" xr6:coauthVersionMax="47" xr10:uidLastSave="{0BAA681B-65BD-49C3-B3B7-7FFC7883CCF1}"/>
  <bookViews>
    <workbookView xWindow="240" yWindow="105" windowWidth="14805" windowHeight="8010" xr2:uid="{00000000-000D-0000-FFFF-FFFF00000000}"/>
  </bookViews>
  <sheets>
    <sheet name="Data Manipulation and Visualiza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2" l="1"/>
  <c r="D79" i="2"/>
  <c r="D70" i="2"/>
  <c r="D76" i="2"/>
  <c r="D73" i="2"/>
  <c r="D64" i="2"/>
  <c r="D65" i="2" s="1"/>
  <c r="D77" i="2"/>
  <c r="D74" i="2"/>
  <c r="D71" i="2"/>
  <c r="D68" i="2"/>
  <c r="A31" i="2"/>
  <c r="A35" i="2" s="1"/>
  <c r="A37" i="2" s="1"/>
  <c r="A44" i="2" s="1"/>
  <c r="A45" i="2" s="1"/>
  <c r="A48" i="2" s="1"/>
  <c r="A51" i="2" s="1"/>
  <c r="A54" i="2" s="1"/>
  <c r="A58" i="2" s="1"/>
  <c r="A61" i="2" s="1"/>
  <c r="D8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Rainer Sawitzki (Guest)</author>
  </authors>
  <commentList>
    <comment ref="D7" authorId="0" shapeId="0" xr:uid="{5AD5C372-FB40-4C8E-A456-6949C86C4B64}">
      <text>
        <t xml:space="preserve">Rainer Sawitzki (Guest):
</t>
      </text>
    </comment>
  </commentList>
</comments>
</file>

<file path=xl/sharedStrings.xml><?xml version="1.0" encoding="utf-8"?>
<sst xmlns="http://schemas.openxmlformats.org/spreadsheetml/2006/main" count="123" uniqueCount="110">
  <si>
    <t>Name</t>
  </si>
  <si>
    <t>Python Data Manipulation and Visualization</t>
  </si>
  <si>
    <t>classroom sessions including supported exercises</t>
  </si>
  <si>
    <t>Keywords</t>
  </si>
  <si>
    <t>programming,python,pandas,seaborn</t>
  </si>
  <si>
    <t>external resource</t>
  </si>
  <si>
    <t>Trainerprofile</t>
  </si>
  <si>
    <t>exercise</t>
  </si>
  <si>
    <t>assert that participants</t>
  </si>
  <si>
    <t>project work</t>
  </si>
  <si>
    <t>are basic python developers</t>
  </si>
  <si>
    <t>videos</t>
  </si>
  <si>
    <t>are able to access a working python environment</t>
  </si>
  <si>
    <t>participants expect to</t>
  </si>
  <si>
    <t>"</t>
  </si>
  <si>
    <t>learn the benefit of using libraries</t>
  </si>
  <si>
    <t>see why python data containers are not enough</t>
  </si>
  <si>
    <t>use pandas to load text and excel files</t>
  </si>
  <si>
    <t>learn to use pandas DataFrame</t>
  </si>
  <si>
    <t>learn how to clean dirty data</t>
  </si>
  <si>
    <t xml:space="preserve">learn to add columns </t>
  </si>
  <si>
    <t>learn to combine DataFrames</t>
  </si>
  <si>
    <t>learn to create diagrams using seaborn</t>
  </si>
  <si>
    <t>participants do not expect to</t>
  </si>
  <si>
    <t>access a (relational) database</t>
  </si>
  <si>
    <t>implement a web service</t>
  </si>
  <si>
    <t>implement a graphical user interface or a web application</t>
  </si>
  <si>
    <t>use statistical methods for complex data analysis</t>
  </si>
  <si>
    <t>skill</t>
  </si>
  <si>
    <t>basic python data analyst</t>
  </si>
  <si>
    <t>Content</t>
  </si>
  <si>
    <t>nr</t>
  </si>
  <si>
    <t>title</t>
  </si>
  <si>
    <t>topics</t>
  </si>
  <si>
    <t>duration classroom session [min]</t>
  </si>
  <si>
    <t>labels</t>
  </si>
  <si>
    <t>details</t>
  </si>
  <si>
    <t>introduction</t>
  </si>
  <si>
    <t>where are we, where do I want you to go?</t>
  </si>
  <si>
    <t>pandas</t>
  </si>
  <si>
    <t>https://github.com/Javacream/com.evonik.dataprocessor.level2/tree/work_python/data_manipulation_and_visualization/01-introduction</t>
  </si>
  <si>
    <t>login to your python environment</t>
  </si>
  <si>
    <t>import numpy and pandas</t>
  </si>
  <si>
    <t>load a DataFrame from a file (csv, excel)</t>
  </si>
  <si>
    <t>introspect your DataFrame</t>
  </si>
  <si>
    <t>head, tail</t>
  </si>
  <si>
    <t>DataFrame</t>
  </si>
  <si>
    <t>https://github.com/Javacream/com.evonik.dataprocessor.level2/tree/work_python/data_manipulation_and_visualization/02-DataFrame_And_Introspection</t>
  </si>
  <si>
    <t>info</t>
  </si>
  <si>
    <t>introspection</t>
  </si>
  <si>
    <t>describe</t>
  </si>
  <si>
    <t>adding background</t>
  </si>
  <si>
    <t>inspect a data set</t>
  </si>
  <si>
    <t>load the sample data file</t>
  </si>
  <si>
    <t>https://github.com/Javacream/com.evonik.dataprocessor.level2/tree/work_python/data_manipulation_and_visualization/03-data_introspection</t>
  </si>
  <si>
    <t>introspect the data</t>
  </si>
  <si>
    <t>data cleanup</t>
  </si>
  <si>
    <t>what is "nan"?</t>
  </si>
  <si>
    <t>nan</t>
  </si>
  <si>
    <t>https://github.com/Javacream/com.evonik.dataprocessor.level2/tree/work_python/data_manipulation_and_visualization/04-data_cleanup</t>
  </si>
  <si>
    <t>detecting nan values</t>
  </si>
  <si>
    <t>deleting dirty data</t>
  </si>
  <si>
    <t>create columns</t>
  </si>
  <si>
    <t>filling nan cells</t>
  </si>
  <si>
    <t>locate data</t>
  </si>
  <si>
    <t>index and data selection, loc, iloc</t>
  </si>
  <si>
    <t>set data</t>
  </si>
  <si>
    <t>setting and converting values</t>
  </si>
  <si>
    <t>add columns</t>
  </si>
  <si>
    <t>cleanup the sample data</t>
  </si>
  <si>
    <t>https://github.com/Javacream/com.evonik.dataprocessor.level2/tree/work_python/data_manipulation_and_visualization/05-data_cleanup</t>
  </si>
  <si>
    <t>more advanced techniques</t>
  </si>
  <si>
    <t>interpolating data</t>
  </si>
  <si>
    <t>interpolation</t>
  </si>
  <si>
    <t>https://github.com/Javacream/com.evonik.dataprocessor.level2/tree/work_python/data_manipulation_and_visualization/06-more_advanced_techniques</t>
  </si>
  <si>
    <t>working with date and time series</t>
  </si>
  <si>
    <t>date and time</t>
  </si>
  <si>
    <t>replace string values using regular expressions</t>
  </si>
  <si>
    <t>string replacement</t>
  </si>
  <si>
    <t xml:space="preserve">working with DataFrames </t>
  </si>
  <si>
    <t>concatenate</t>
  </si>
  <si>
    <t>https://github.com/Javacream/com.evonik.dataprocessor.level2/tree/work_python/data_manipulation_and_visualization/07-working_with_frames</t>
  </si>
  <si>
    <t>merge and join</t>
  </si>
  <si>
    <t>from sum to grouping and creating pivot tables: Excel-like features in pandas</t>
  </si>
  <si>
    <t>workshop</t>
  </si>
  <si>
    <t>introduce the sample data files and definition of done</t>
  </si>
  <si>
    <t>https://github.com/Javacream/com.evonik.dataprocessor.level2/tree/work_python/data_manipulation_and_visualization/08-workshop</t>
  </si>
  <si>
    <t>detect and cleanup dirty values</t>
  </si>
  <si>
    <t>analyse the data and report the results using files</t>
  </si>
  <si>
    <t>introduce seaborn</t>
  </si>
  <si>
    <t>import matplotlib and seaborn</t>
  </si>
  <si>
    <t>Seaborn</t>
  </si>
  <si>
    <t>https://github.com/Javacream/com.evonik.dataprocessor.level2/tree/work_python/data_manipulation_and_visualization/09-seaborn</t>
  </si>
  <si>
    <t>creating histograms</t>
  </si>
  <si>
    <t>histogram</t>
  </si>
  <si>
    <t>creating relational scatter and line plots</t>
  </si>
  <si>
    <t>relational plot</t>
  </si>
  <si>
    <t>save your plots as files</t>
  </si>
  <si>
    <t>seaborn diagrams</t>
  </si>
  <si>
    <t>make yourself familiar with the different diagram types provided by seaborn</t>
  </si>
  <si>
    <t>diagram gallery</t>
  </si>
  <si>
    <t>https://github.com/Javacream/com.evonik.dataprocessor.level2/tree/work_python/data_manipulation_and_visualization/10-seaborn_diagrams</t>
  </si>
  <si>
    <t>make yourself familiar with the rich set of parameters and options</t>
  </si>
  <si>
    <t>customization</t>
  </si>
  <si>
    <t>use matplotlib to add additional elements to your diagram</t>
  </si>
  <si>
    <t>matplotlib</t>
  </si>
  <si>
    <t>create a set of diagrams visualize the reports of the preceeding workshops</t>
  </si>
  <si>
    <t>https://github.com/Javacream/com.evonik.dataprocessor.level2/blob/work_python/data_manipulation_and_visualization/11-workshop/workshop_data_visualization.md</t>
  </si>
  <si>
    <t>Total Time [h]</t>
  </si>
  <si>
    <t>Total Time [days]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</si>
</sst>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9E1F2"/>
        <bgColor indexed="64"/>
      </patternFill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5" borderId="5" xfId="0" applyFill="1" applyBorder="1"/>
    <xf numFmtId="0" fontId="0" fillId="4" borderId="1" xfId="0" applyFill="1" applyBorder="1" applyAlignment="1">
      <alignment horizontal="left" vertical="center"/>
    </xf>
    <xf numFmtId="0" fontId="0" fillId="4" borderId="2" xfId="0" applyFill="1" applyBorder="1"/>
    <xf numFmtId="0" fontId="0" fillId="4" borderId="3" xfId="0" applyFill="1" applyBorder="1"/>
    <xf numFmtId="0" fontId="0" fillId="4" borderId="5" xfId="0" applyFill="1" applyBorder="1"/>
    <xf numFmtId="0" fontId="0" fillId="7" borderId="5" xfId="0" applyFill="1" applyBorder="1"/>
    <xf numFmtId="0" fontId="0" fillId="4" borderId="2" xfId="0" applyFill="1" applyBorder="1" applyAlignment="1">
      <alignment horizontal="right" vertical="center"/>
    </xf>
    <xf numFmtId="0" fontId="0" fillId="6" borderId="5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5" xfId="0" applyFill="1" applyBorder="1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1" fillId="7" borderId="0" xfId="0" applyFont="1" applyFill="1"/>
    <xf numFmtId="2" fontId="1" fillId="7" borderId="0" xfId="0" applyNumberFormat="1" applyFont="1" applyFill="1"/>
    <xf numFmtId="0" fontId="1" fillId="3" borderId="0" xfId="0" applyFont="1" applyFill="1"/>
    <xf numFmtId="2" fontId="1" fillId="3" borderId="0" xfId="0" applyNumberFormat="1" applyFont="1" applyFill="1"/>
    <xf numFmtId="0" fontId="1" fillId="4" borderId="0" xfId="0" applyFont="1" applyFill="1"/>
    <xf numFmtId="2" fontId="1" fillId="4" borderId="0" xfId="0" applyNumberFormat="1" applyFont="1" applyFill="1"/>
    <xf numFmtId="0" fontId="1" fillId="6" borderId="0" xfId="0" applyFont="1" applyFill="1"/>
    <xf numFmtId="2" fontId="1" fillId="6" borderId="0" xfId="0" applyNumberFormat="1" applyFont="1" applyFill="1"/>
    <xf numFmtId="0" fontId="1" fillId="2" borderId="0" xfId="0" applyFont="1" applyFill="1"/>
    <xf numFmtId="2" fontId="1" fillId="2" borderId="0" xfId="0" applyNumberFormat="1" applyFont="1" applyFill="1"/>
    <xf numFmtId="0" fontId="2" fillId="0" borderId="0" xfId="1"/>
    <xf numFmtId="0" fontId="0" fillId="5" borderId="2" xfId="0" applyFill="1" applyBorder="1"/>
    <xf numFmtId="0" fontId="0" fillId="5" borderId="3" xfId="0" applyFill="1" applyBorder="1"/>
    <xf numFmtId="0" fontId="1" fillId="8" borderId="1" xfId="0" applyFont="1" applyFill="1" applyBorder="1"/>
    <xf numFmtId="0" fontId="1" fillId="8" borderId="2" xfId="0" applyFont="1" applyFill="1" applyBorder="1"/>
    <xf numFmtId="0" fontId="1" fillId="8" borderId="3" xfId="0" applyFont="1" applyFill="1" applyBorder="1"/>
    <xf numFmtId="0" fontId="0" fillId="2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6" borderId="13" xfId="0" applyFill="1" applyBorder="1" applyAlignment="1">
      <alignment horizontal="left" vertical="center"/>
    </xf>
    <xf numFmtId="0" fontId="0" fillId="6" borderId="14" xfId="0" applyFill="1" applyBorder="1"/>
    <xf numFmtId="0" fontId="0" fillId="6" borderId="9" xfId="0" applyFill="1" applyBorder="1"/>
    <xf numFmtId="0" fontId="2" fillId="6" borderId="15" xfId="1" applyFill="1" applyBorder="1" applyAlignment="1">
      <alignment horizontal="left" vertical="center" wrapText="1"/>
    </xf>
    <xf numFmtId="0" fontId="0" fillId="5" borderId="7" xfId="0" applyFill="1" applyBorder="1"/>
    <xf numFmtId="0" fontId="0" fillId="5" borderId="8" xfId="0" applyFill="1" applyBorder="1"/>
    <xf numFmtId="0" fontId="0" fillId="2" borderId="7" xfId="0" applyFill="1" applyBorder="1"/>
    <xf numFmtId="0" fontId="0" fillId="2" borderId="8" xfId="0" applyFill="1" applyBorder="1"/>
    <xf numFmtId="0" fontId="2" fillId="4" borderId="10" xfId="1" applyFill="1" applyBorder="1" applyAlignment="1">
      <alignment horizontal="left" vertical="center" wrapText="1"/>
    </xf>
    <xf numFmtId="0" fontId="0" fillId="9" borderId="0" xfId="0" applyFill="1"/>
    <xf numFmtId="0" fontId="0" fillId="9" borderId="0" xfId="0" applyFill="1" applyAlignment="1">
      <alignment vertical="center"/>
    </xf>
    <xf numFmtId="0" fontId="0" fillId="9" borderId="5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0" xfId="0" applyFill="1"/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2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3" borderId="7" xfId="0" applyFill="1" applyBorder="1" applyAlignment="1">
      <alignment horizontal="right" vertical="center"/>
    </xf>
    <xf numFmtId="0" fontId="0" fillId="5" borderId="1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2" fillId="6" borderId="11" xfId="1" applyFill="1" applyBorder="1" applyAlignment="1">
      <alignment horizontal="left" vertical="center" wrapText="1"/>
    </xf>
    <xf numFmtId="0" fontId="2" fillId="4" borderId="10" xfId="1" applyFill="1" applyBorder="1" applyAlignment="1">
      <alignment horizontal="left" vertical="center" wrapText="1"/>
    </xf>
    <xf numFmtId="0" fontId="2" fillId="4" borderId="11" xfId="1" applyFill="1" applyBorder="1" applyAlignment="1">
      <alignment horizontal="left" vertical="center" wrapText="1"/>
    </xf>
    <xf numFmtId="0" fontId="0" fillId="5" borderId="2" xfId="0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0" fontId="2" fillId="7" borderId="10" xfId="1" applyFill="1" applyBorder="1" applyAlignment="1">
      <alignment horizontal="left" vertical="center" wrapText="1"/>
    </xf>
    <xf numFmtId="0" fontId="2" fillId="7" borderId="11" xfId="1" applyFill="1" applyBorder="1" applyAlignment="1">
      <alignment horizontal="left" vertical="center" wrapText="1"/>
    </xf>
    <xf numFmtId="0" fontId="2" fillId="3" borderId="10" xfId="1" applyFill="1" applyBorder="1" applyAlignment="1">
      <alignment horizontal="left" vertical="center" wrapText="1"/>
    </xf>
    <xf numFmtId="0" fontId="2" fillId="3" borderId="11" xfId="1" applyFill="1" applyBorder="1" applyAlignment="1">
      <alignment horizontal="left" vertical="center" wrapText="1"/>
    </xf>
    <xf numFmtId="0" fontId="2" fillId="3" borderId="12" xfId="1" applyFill="1" applyBorder="1" applyAlignment="1">
      <alignment horizontal="left" vertical="center" wrapText="1"/>
    </xf>
    <xf numFmtId="0" fontId="2" fillId="2" borderId="11" xfId="1" applyFill="1" applyBorder="1" applyAlignment="1">
      <alignment horizontal="left" vertical="center" wrapText="1"/>
    </xf>
    <xf numFmtId="0" fontId="2" fillId="2" borderId="12" xfId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2" xfId="0" applyFill="1" applyBorder="1" applyAlignment="1">
      <alignment horizontal="right" vertical="center"/>
    </xf>
    <xf numFmtId="0" fontId="0" fillId="7" borderId="0" xfId="0" applyFill="1" applyAlignment="1">
      <alignment horizontal="right" vertical="center"/>
    </xf>
    <xf numFmtId="0" fontId="0" fillId="4" borderId="2" xfId="0" applyFill="1" applyBorder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2" fillId="5" borderId="3" xfId="1" applyFill="1" applyBorder="1" applyAlignment="1">
      <alignment horizontal="left" vertical="center" wrapText="1"/>
    </xf>
    <xf numFmtId="0" fontId="2" fillId="5" borderId="5" xfId="1" applyFill="1" applyBorder="1" applyAlignment="1">
      <alignment horizontal="left" vertical="center" wrapText="1"/>
    </xf>
    <xf numFmtId="0" fontId="2" fillId="5" borderId="10" xfId="1" applyFill="1" applyBorder="1" applyAlignment="1">
      <alignment horizontal="left" vertical="center" wrapText="1"/>
    </xf>
    <xf numFmtId="0" fontId="2" fillId="5" borderId="11" xfId="1" applyFill="1" applyBorder="1" applyAlignment="1">
      <alignment horizontal="left" vertical="center" wrapText="1"/>
    </xf>
    <xf numFmtId="0" fontId="2" fillId="5" borderId="12" xfId="1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2" borderId="7" xfId="0" applyFill="1" applyBorder="1" applyAlignment="1">
      <alignment horizontal="right" vertical="center"/>
    </xf>
  </cellXfs>
  <cellStyles count="2">
    <cellStyle name="Hyperlink" xfId="1" xr:uid="{00000000-000B-0000-0000-000008000000}"/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Javacream/com.evonik.python/tree/work_python/data_manipulation_and_visualization/07-working_with_frames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evonik.sharepoint.com/:x:/r/sites/dataevonik/Shared%20Documents/400%20Data%20Literacy%20and%20Culture/Project%20organization/60_Redaktionskonferenz/Lernpfade%20Rainer/DPL2/Python/Trainerprofile%20Data%20Processor%20Level%202%20Python.xlsx?d=w6977f1f24237426fb81cfa5f5ddaa97f&amp;csf=1&amp;web=1&amp;e=7IrwQR" TargetMode="External"/><Relationship Id="rId7" Type="http://schemas.openxmlformats.org/officeDocument/2006/relationships/hyperlink" Target="https://github.com/Javacream/com.evonik.python/tree/work_python/data_manipulation_and_visualization/06-more_advanced_techniques" TargetMode="External"/><Relationship Id="rId12" Type="http://schemas.openxmlformats.org/officeDocument/2006/relationships/hyperlink" Target="https://github.com/Javacream/com.evonik.python/tree/work_python/data_manipulation_and_visualization/09-seaborn" TargetMode="External"/><Relationship Id="rId2" Type="http://schemas.openxmlformats.org/officeDocument/2006/relationships/hyperlink" Target="https://github.com/Javacream/com.evonik.python/tree/work_python/data_manipulation_and_visualization/02-DataFrame_And_Introspection" TargetMode="External"/><Relationship Id="rId1" Type="http://schemas.openxmlformats.org/officeDocument/2006/relationships/hyperlink" Target="https://github.com/Javacream/com.evonik.python/tree/work_python/data_manipulation_and_visualization/01-introduction" TargetMode="External"/><Relationship Id="rId6" Type="http://schemas.openxmlformats.org/officeDocument/2006/relationships/hyperlink" Target="https://github.com/Javacream/com.evonik.python/tree/work_python/data_manipulation_and_visualization/05-data_cleanup" TargetMode="External"/><Relationship Id="rId11" Type="http://schemas.openxmlformats.org/officeDocument/2006/relationships/hyperlink" Target="https://github.com/Javacream/com.evonik.python/tree/work_python/data_manipulation_and_visualization/10-seaborn_diagrams" TargetMode="External"/><Relationship Id="rId5" Type="http://schemas.openxmlformats.org/officeDocument/2006/relationships/hyperlink" Target="https://github.com/Javacream/com.evonik.python/tree/work_python/data_manipulation_and_visualization/04-data_cleanup" TargetMode="External"/><Relationship Id="rId10" Type="http://schemas.openxmlformats.org/officeDocument/2006/relationships/hyperlink" Target="https://github.com/Javacream/com.evonik.python/tree/work_python/data_manipulation_and_visualization/08-workshop" TargetMode="External"/><Relationship Id="rId4" Type="http://schemas.openxmlformats.org/officeDocument/2006/relationships/hyperlink" Target="https://github.com/Javacream/com.evonik.python/tree/work_python/data_manipulation_and_visualization/03-data_introspection" TargetMode="External"/><Relationship Id="rId9" Type="http://schemas.openxmlformats.org/officeDocument/2006/relationships/hyperlink" Target="https://github.com/Javacream/com.evonik.python/blob/work_python/data_manipulation_and_visualization/11-workshop/workshop_data_visualization.md" TargetMode="External"/><Relationship Id="rId1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BA80E-BD3D-4838-95AE-2D73814B51FB}">
  <dimension ref="A1:F80"/>
  <sheetViews>
    <sheetView tabSelected="1" workbookViewId="0">
      <selection activeCell="D7" sqref="D7"/>
    </sheetView>
  </sheetViews>
  <sheetFormatPr defaultRowHeight="15"/>
  <cols>
    <col min="1" max="1" width="26.85546875" bestFit="1" customWidth="1"/>
    <col min="2" max="2" width="66.42578125" customWidth="1"/>
    <col min="3" max="3" width="66.5703125" customWidth="1"/>
    <col min="4" max="4" width="30.42578125" customWidth="1"/>
    <col min="5" max="5" width="16.85546875" bestFit="1" customWidth="1"/>
    <col min="6" max="6" width="46.7109375" customWidth="1"/>
    <col min="8" max="8" width="16.85546875" bestFit="1" customWidth="1"/>
  </cols>
  <sheetData>
    <row r="1" spans="1:4">
      <c r="A1" t="s">
        <v>0</v>
      </c>
      <c r="B1" t="s">
        <v>1</v>
      </c>
      <c r="C1" s="4" t="s">
        <v>2</v>
      </c>
    </row>
    <row r="2" spans="1:4">
      <c r="A2" t="s">
        <v>3</v>
      </c>
      <c r="B2" t="s">
        <v>4</v>
      </c>
      <c r="C2" s="2" t="s">
        <v>5</v>
      </c>
    </row>
    <row r="3" spans="1:4">
      <c r="A3" s="30" t="s">
        <v>6</v>
      </c>
      <c r="C3" s="3" t="s">
        <v>7</v>
      </c>
    </row>
    <row r="4" spans="1:4">
      <c r="A4" t="s">
        <v>8</v>
      </c>
      <c r="C4" s="5" t="s">
        <v>9</v>
      </c>
    </row>
    <row r="5" spans="1:4">
      <c r="B5" t="s">
        <v>10</v>
      </c>
      <c r="C5" s="1" t="s">
        <v>11</v>
      </c>
    </row>
    <row r="6" spans="1:4">
      <c r="B6" t="s">
        <v>12</v>
      </c>
    </row>
    <row r="7" spans="1:4">
      <c r="A7" t="s">
        <v>13</v>
      </c>
      <c r="C7" t="s">
        <v>14</v>
      </c>
    </row>
    <row r="8" spans="1:4">
      <c r="B8" t="s">
        <v>15</v>
      </c>
    </row>
    <row r="9" spans="1:4">
      <c r="B9" t="s">
        <v>16</v>
      </c>
    </row>
    <row r="10" spans="1:4">
      <c r="B10" t="s">
        <v>17</v>
      </c>
    </row>
    <row r="11" spans="1:4">
      <c r="B11" t="s">
        <v>18</v>
      </c>
    </row>
    <row r="12" spans="1:4">
      <c r="B12" t="s">
        <v>19</v>
      </c>
    </row>
    <row r="13" spans="1:4">
      <c r="B13" t="s">
        <v>20</v>
      </c>
    </row>
    <row r="14" spans="1:4">
      <c r="B14" t="s">
        <v>21</v>
      </c>
    </row>
    <row r="15" spans="1:4">
      <c r="B15" t="s">
        <v>22</v>
      </c>
    </row>
    <row r="16" spans="1:4">
      <c r="A16" t="s">
        <v>23</v>
      </c>
    </row>
    <row r="17" spans="1:6">
      <c r="B17" t="s">
        <v>24</v>
      </c>
    </row>
    <row r="18" spans="1:6">
      <c r="B18" t="s">
        <v>25</v>
      </c>
    </row>
    <row r="19" spans="1:6">
      <c r="B19" t="s">
        <v>26</v>
      </c>
    </row>
    <row r="20" spans="1:6">
      <c r="B20" t="s">
        <v>27</v>
      </c>
    </row>
    <row r="22" spans="1:6">
      <c r="A22" t="s">
        <v>28</v>
      </c>
      <c r="B22" t="s">
        <v>29</v>
      </c>
    </row>
    <row r="24" spans="1:6">
      <c r="A24" t="s">
        <v>30</v>
      </c>
    </row>
    <row r="26" spans="1:6" s="17" customFormat="1">
      <c r="A26" s="33" t="s">
        <v>31</v>
      </c>
      <c r="B26" s="33" t="s">
        <v>32</v>
      </c>
      <c r="C26" s="34" t="s">
        <v>33</v>
      </c>
      <c r="D26" s="34" t="s">
        <v>34</v>
      </c>
      <c r="E26" s="35" t="s">
        <v>35</v>
      </c>
      <c r="F26" s="35" t="s">
        <v>36</v>
      </c>
    </row>
    <row r="27" spans="1:6">
      <c r="A27" s="60">
        <v>1</v>
      </c>
      <c r="B27" s="60" t="s">
        <v>37</v>
      </c>
      <c r="C27" s="31" t="s">
        <v>38</v>
      </c>
      <c r="D27" s="31"/>
      <c r="E27" s="32" t="s">
        <v>39</v>
      </c>
      <c r="F27" s="82" t="s">
        <v>40</v>
      </c>
    </row>
    <row r="28" spans="1:6">
      <c r="A28" s="61"/>
      <c r="B28" s="61"/>
      <c r="C28" s="4" t="s">
        <v>41</v>
      </c>
      <c r="D28" s="66">
        <v>45</v>
      </c>
      <c r="E28" s="6"/>
      <c r="F28" s="83"/>
    </row>
    <row r="29" spans="1:6">
      <c r="A29" s="61"/>
      <c r="B29" s="61"/>
      <c r="C29" s="4" t="s">
        <v>42</v>
      </c>
      <c r="D29" s="66"/>
      <c r="E29" s="6"/>
      <c r="F29" s="83"/>
    </row>
    <row r="30" spans="1:6">
      <c r="A30" s="61"/>
      <c r="B30" s="61"/>
      <c r="C30" s="4" t="s">
        <v>43</v>
      </c>
      <c r="D30" s="66"/>
      <c r="E30" s="6"/>
      <c r="F30" s="83"/>
    </row>
    <row r="31" spans="1:6">
      <c r="A31" s="60">
        <f>A27+1</f>
        <v>2</v>
      </c>
      <c r="B31" s="60" t="s">
        <v>44</v>
      </c>
      <c r="C31" s="31" t="s">
        <v>45</v>
      </c>
      <c r="D31" s="65">
        <v>45</v>
      </c>
      <c r="E31" s="32" t="s">
        <v>46</v>
      </c>
      <c r="F31" s="82" t="s">
        <v>47</v>
      </c>
    </row>
    <row r="32" spans="1:6">
      <c r="A32" s="61"/>
      <c r="B32" s="61"/>
      <c r="C32" s="4" t="s">
        <v>48</v>
      </c>
      <c r="D32" s="66"/>
      <c r="E32" s="6" t="s">
        <v>49</v>
      </c>
      <c r="F32" s="83"/>
    </row>
    <row r="33" spans="1:6">
      <c r="A33" s="61"/>
      <c r="B33" s="61"/>
      <c r="C33" s="4" t="s">
        <v>50</v>
      </c>
      <c r="D33" s="66"/>
      <c r="E33" s="6"/>
      <c r="F33" s="83"/>
    </row>
    <row r="34" spans="1:6">
      <c r="A34" s="61"/>
      <c r="B34" s="61"/>
      <c r="C34" s="48" t="s">
        <v>51</v>
      </c>
      <c r="D34" s="49">
        <v>60</v>
      </c>
      <c r="E34" s="50"/>
      <c r="F34" s="83"/>
    </row>
    <row r="35" spans="1:6" ht="23.25" customHeight="1">
      <c r="A35" s="74">
        <f>A31+1</f>
        <v>3</v>
      </c>
      <c r="B35" s="74" t="s">
        <v>52</v>
      </c>
      <c r="C35" s="8" t="s">
        <v>53</v>
      </c>
      <c r="D35" s="80">
        <v>30</v>
      </c>
      <c r="E35" s="9"/>
      <c r="F35" s="63" t="s">
        <v>54</v>
      </c>
    </row>
    <row r="36" spans="1:6" ht="21" customHeight="1">
      <c r="A36" s="75"/>
      <c r="B36" s="75"/>
      <c r="C36" s="3" t="s">
        <v>55</v>
      </c>
      <c r="D36" s="81"/>
      <c r="E36" s="10"/>
      <c r="F36" s="64"/>
    </row>
    <row r="37" spans="1:6">
      <c r="A37" s="76">
        <f>A35+1</f>
        <v>4</v>
      </c>
      <c r="B37" s="76" t="s">
        <v>56</v>
      </c>
      <c r="C37" s="51" t="s">
        <v>57</v>
      </c>
      <c r="D37" s="78">
        <v>360</v>
      </c>
      <c r="E37" s="52" t="s">
        <v>58</v>
      </c>
      <c r="F37" s="67" t="s">
        <v>59</v>
      </c>
    </row>
    <row r="38" spans="1:6">
      <c r="A38" s="77"/>
      <c r="B38" s="77"/>
      <c r="C38" s="53" t="s">
        <v>60</v>
      </c>
      <c r="D38" s="79"/>
      <c r="E38" s="11" t="s">
        <v>56</v>
      </c>
      <c r="F38" s="68"/>
    </row>
    <row r="39" spans="1:6">
      <c r="A39" s="77"/>
      <c r="B39" s="77"/>
      <c r="C39" s="53" t="s">
        <v>61</v>
      </c>
      <c r="D39" s="79"/>
      <c r="E39" s="11" t="s">
        <v>62</v>
      </c>
      <c r="F39" s="68"/>
    </row>
    <row r="40" spans="1:6">
      <c r="A40" s="77"/>
      <c r="B40" s="77"/>
      <c r="C40" s="53" t="s">
        <v>63</v>
      </c>
      <c r="D40" s="79"/>
      <c r="E40" s="11" t="s">
        <v>64</v>
      </c>
      <c r="F40" s="68"/>
    </row>
    <row r="41" spans="1:6">
      <c r="A41" s="77"/>
      <c r="B41" s="77"/>
      <c r="C41" s="53" t="s">
        <v>65</v>
      </c>
      <c r="D41" s="79"/>
      <c r="E41" s="11" t="s">
        <v>66</v>
      </c>
      <c r="F41" s="68"/>
    </row>
    <row r="42" spans="1:6">
      <c r="A42" s="77"/>
      <c r="B42" s="77"/>
      <c r="C42" s="53" t="s">
        <v>67</v>
      </c>
      <c r="D42" s="79"/>
      <c r="E42" s="11"/>
      <c r="F42" s="68"/>
    </row>
    <row r="43" spans="1:6">
      <c r="A43" s="77"/>
      <c r="B43" s="77"/>
      <c r="C43" s="53" t="s">
        <v>68</v>
      </c>
      <c r="D43" s="79"/>
      <c r="E43" s="11"/>
      <c r="F43" s="68"/>
    </row>
    <row r="44" spans="1:6" ht="76.5">
      <c r="A44" s="7">
        <f>A37+1</f>
        <v>5</v>
      </c>
      <c r="B44" s="7" t="s">
        <v>56</v>
      </c>
      <c r="C44" s="8" t="s">
        <v>69</v>
      </c>
      <c r="D44" s="12">
        <v>120</v>
      </c>
      <c r="E44" s="9"/>
      <c r="F44" s="47" t="s">
        <v>70</v>
      </c>
    </row>
    <row r="45" spans="1:6">
      <c r="A45" s="54">
        <f>A44+1</f>
        <v>6</v>
      </c>
      <c r="B45" s="54" t="s">
        <v>71</v>
      </c>
      <c r="C45" s="14" t="s">
        <v>72</v>
      </c>
      <c r="D45" s="57">
        <v>180</v>
      </c>
      <c r="E45" s="15" t="s">
        <v>73</v>
      </c>
      <c r="F45" s="69" t="s">
        <v>74</v>
      </c>
    </row>
    <row r="46" spans="1:6">
      <c r="A46" s="55"/>
      <c r="B46" s="55"/>
      <c r="C46" s="2" t="s">
        <v>75</v>
      </c>
      <c r="D46" s="58"/>
      <c r="E46" s="16" t="s">
        <v>76</v>
      </c>
      <c r="F46" s="70"/>
    </row>
    <row r="47" spans="1:6">
      <c r="A47" s="56"/>
      <c r="B47" s="56"/>
      <c r="C47" s="37" t="s">
        <v>77</v>
      </c>
      <c r="D47" s="59"/>
      <c r="E47" s="38" t="s">
        <v>78</v>
      </c>
      <c r="F47" s="71"/>
    </row>
    <row r="48" spans="1:6">
      <c r="A48" s="87">
        <f>A45+1</f>
        <v>7</v>
      </c>
      <c r="B48" s="87" t="s">
        <v>79</v>
      </c>
      <c r="C48" s="1" t="s">
        <v>80</v>
      </c>
      <c r="D48" s="94">
        <v>120</v>
      </c>
      <c r="E48" s="36"/>
      <c r="F48" s="72" t="s">
        <v>81</v>
      </c>
    </row>
    <row r="49" spans="1:6">
      <c r="A49" s="87"/>
      <c r="B49" s="87"/>
      <c r="C49" s="1" t="s">
        <v>82</v>
      </c>
      <c r="D49" s="94"/>
      <c r="E49" s="36"/>
      <c r="F49" s="72"/>
    </row>
    <row r="50" spans="1:6">
      <c r="A50" s="88"/>
      <c r="B50" s="88"/>
      <c r="C50" s="45" t="s">
        <v>83</v>
      </c>
      <c r="D50" s="95"/>
      <c r="E50" s="46"/>
      <c r="F50" s="73"/>
    </row>
    <row r="51" spans="1:6">
      <c r="A51" s="89">
        <f>A48+1</f>
        <v>8</v>
      </c>
      <c r="B51" s="89" t="s">
        <v>84</v>
      </c>
      <c r="C51" s="5" t="s">
        <v>85</v>
      </c>
      <c r="D51" s="93">
        <v>480</v>
      </c>
      <c r="E51" s="13"/>
      <c r="F51" s="62" t="s">
        <v>86</v>
      </c>
    </row>
    <row r="52" spans="1:6">
      <c r="A52" s="89"/>
      <c r="B52" s="89"/>
      <c r="C52" s="5" t="s">
        <v>87</v>
      </c>
      <c r="D52" s="93"/>
      <c r="E52" s="13"/>
      <c r="F52" s="62"/>
    </row>
    <row r="53" spans="1:6">
      <c r="A53" s="90"/>
      <c r="B53" s="89"/>
      <c r="C53" s="5" t="s">
        <v>88</v>
      </c>
      <c r="D53" s="93"/>
      <c r="E53" s="13"/>
      <c r="F53" s="62"/>
    </row>
    <row r="54" spans="1:6">
      <c r="A54" s="61">
        <f>A51+1</f>
        <v>9</v>
      </c>
      <c r="B54" s="60" t="s">
        <v>89</v>
      </c>
      <c r="C54" s="31" t="s">
        <v>90</v>
      </c>
      <c r="D54" s="65">
        <v>90</v>
      </c>
      <c r="E54" s="32" t="s">
        <v>91</v>
      </c>
      <c r="F54" s="84" t="s">
        <v>92</v>
      </c>
    </row>
    <row r="55" spans="1:6">
      <c r="A55" s="61"/>
      <c r="B55" s="61"/>
      <c r="C55" s="4" t="s">
        <v>93</v>
      </c>
      <c r="D55" s="66"/>
      <c r="E55" s="6" t="s">
        <v>94</v>
      </c>
      <c r="F55" s="85"/>
    </row>
    <row r="56" spans="1:6">
      <c r="A56" s="61"/>
      <c r="B56" s="61"/>
      <c r="C56" s="4" t="s">
        <v>95</v>
      </c>
      <c r="D56" s="66"/>
      <c r="E56" s="6" t="s">
        <v>96</v>
      </c>
      <c r="F56" s="85"/>
    </row>
    <row r="57" spans="1:6">
      <c r="A57" s="61"/>
      <c r="B57" s="91"/>
      <c r="C57" s="43" t="s">
        <v>97</v>
      </c>
      <c r="D57" s="92"/>
      <c r="E57" s="44"/>
      <c r="F57" s="86"/>
    </row>
    <row r="58" spans="1:6">
      <c r="A58" s="54">
        <f>A54+1</f>
        <v>10</v>
      </c>
      <c r="B58" s="55" t="s">
        <v>98</v>
      </c>
      <c r="C58" s="2" t="s">
        <v>99</v>
      </c>
      <c r="D58" s="58">
        <v>360</v>
      </c>
      <c r="E58" s="16" t="s">
        <v>100</v>
      </c>
      <c r="F58" s="70" t="s">
        <v>101</v>
      </c>
    </row>
    <row r="59" spans="1:6">
      <c r="A59" s="55"/>
      <c r="B59" s="55"/>
      <c r="C59" s="2" t="s">
        <v>102</v>
      </c>
      <c r="D59" s="58"/>
      <c r="E59" s="16" t="s">
        <v>103</v>
      </c>
      <c r="F59" s="70"/>
    </row>
    <row r="60" spans="1:6">
      <c r="A60" s="55"/>
      <c r="B60" s="55"/>
      <c r="C60" s="2" t="s">
        <v>104</v>
      </c>
      <c r="D60" s="58"/>
      <c r="E60" s="16" t="s">
        <v>105</v>
      </c>
      <c r="F60" s="70"/>
    </row>
    <row r="61" spans="1:6" ht="76.5">
      <c r="A61" s="39">
        <f>A58+1</f>
        <v>11</v>
      </c>
      <c r="B61" s="39" t="s">
        <v>84</v>
      </c>
      <c r="C61" s="40" t="s">
        <v>106</v>
      </c>
      <c r="D61" s="40">
        <v>480</v>
      </c>
      <c r="E61" s="41"/>
      <c r="F61" s="42" t="s">
        <v>107</v>
      </c>
    </row>
    <row r="64" spans="1:6">
      <c r="C64" s="17" t="s">
        <v>108</v>
      </c>
      <c r="D64" s="18">
        <f>SUM(D27:D61)/60</f>
        <v>39.5</v>
      </c>
    </row>
    <row r="65" spans="3:4">
      <c r="C65" s="17" t="s">
        <v>109</v>
      </c>
      <c r="D65" s="18">
        <f>$D$64/6</f>
        <v>6.583333333333333</v>
      </c>
    </row>
    <row r="66" spans="3:4">
      <c r="D66" s="19"/>
    </row>
    <row r="67" spans="3:4">
      <c r="C67" s="20" t="s">
        <v>108</v>
      </c>
      <c r="D67" s="21">
        <f>SUM(D54+D37+D31+D28)/60</f>
        <v>9</v>
      </c>
    </row>
    <row r="68" spans="3:4">
      <c r="C68" s="20" t="s">
        <v>109</v>
      </c>
      <c r="D68" s="21">
        <f>D67/6</f>
        <v>1.5</v>
      </c>
    </row>
    <row r="69" spans="3:4">
      <c r="D69" s="19"/>
    </row>
    <row r="70" spans="3:4">
      <c r="C70" s="22" t="s">
        <v>108</v>
      </c>
      <c r="D70" s="23">
        <f>SUM(D58+D45+D34)/60</f>
        <v>10</v>
      </c>
    </row>
    <row r="71" spans="3:4">
      <c r="C71" s="22" t="s">
        <v>109</v>
      </c>
      <c r="D71" s="23">
        <f>D70/6</f>
        <v>1.6666666666666667</v>
      </c>
    </row>
    <row r="72" spans="3:4">
      <c r="D72" s="19"/>
    </row>
    <row r="73" spans="3:4">
      <c r="C73" s="24" t="s">
        <v>108</v>
      </c>
      <c r="D73" s="25">
        <f>SUM(D44+D35)/60</f>
        <v>2.5</v>
      </c>
    </row>
    <row r="74" spans="3:4">
      <c r="C74" s="24" t="s">
        <v>109</v>
      </c>
      <c r="D74" s="25">
        <f>D73/6</f>
        <v>0.41666666666666669</v>
      </c>
    </row>
    <row r="75" spans="3:4">
      <c r="D75" s="19"/>
    </row>
    <row r="76" spans="3:4">
      <c r="C76" s="26" t="s">
        <v>108</v>
      </c>
      <c r="D76" s="27">
        <f>SUM(D61+D51)/60</f>
        <v>16</v>
      </c>
    </row>
    <row r="77" spans="3:4">
      <c r="C77" s="26" t="s">
        <v>109</v>
      </c>
      <c r="D77" s="27">
        <f>D76/6</f>
        <v>2.6666666666666665</v>
      </c>
    </row>
    <row r="78" spans="3:4">
      <c r="D78" s="19"/>
    </row>
    <row r="79" spans="3:4">
      <c r="C79" s="28" t="s">
        <v>108</v>
      </c>
      <c r="D79" s="29">
        <f>SUM(D48)/60</f>
        <v>2</v>
      </c>
    </row>
    <row r="80" spans="3:4">
      <c r="C80" s="28" t="s">
        <v>109</v>
      </c>
      <c r="D80" s="29">
        <f>D79/6</f>
        <v>0.33333333333333331</v>
      </c>
    </row>
  </sheetData>
  <mergeCells count="36">
    <mergeCell ref="A45:A47"/>
    <mergeCell ref="F58:F60"/>
    <mergeCell ref="F54:F57"/>
    <mergeCell ref="A48:A50"/>
    <mergeCell ref="A51:A53"/>
    <mergeCell ref="A54:A57"/>
    <mergeCell ref="A58:A60"/>
    <mergeCell ref="B51:B53"/>
    <mergeCell ref="B54:B57"/>
    <mergeCell ref="D54:D57"/>
    <mergeCell ref="B58:B60"/>
    <mergeCell ref="D58:D60"/>
    <mergeCell ref="D51:D53"/>
    <mergeCell ref="B48:B50"/>
    <mergeCell ref="D48:D50"/>
    <mergeCell ref="B31:B34"/>
    <mergeCell ref="A27:A30"/>
    <mergeCell ref="A31:A34"/>
    <mergeCell ref="A35:A36"/>
    <mergeCell ref="A37:A43"/>
    <mergeCell ref="B45:B47"/>
    <mergeCell ref="D45:D47"/>
    <mergeCell ref="B27:B30"/>
    <mergeCell ref="F51:F53"/>
    <mergeCell ref="F35:F36"/>
    <mergeCell ref="D31:D33"/>
    <mergeCell ref="F37:F43"/>
    <mergeCell ref="F45:F47"/>
    <mergeCell ref="F48:F50"/>
    <mergeCell ref="B35:B36"/>
    <mergeCell ref="B37:B43"/>
    <mergeCell ref="D37:D43"/>
    <mergeCell ref="D35:D36"/>
    <mergeCell ref="F27:F30"/>
    <mergeCell ref="F31:F34"/>
    <mergeCell ref="D28:D30"/>
  </mergeCells>
  <hyperlinks>
    <hyperlink ref="F27:F30" r:id="rId1" display="https://github.com/Javacream/com.evonik.python/tree/work_python/data_manipulation_and_visualization/01-introduction" xr:uid="{5AF4304D-3100-4611-A09B-65BA85FD97AB}"/>
    <hyperlink ref="F31:F34" r:id="rId2" display="https://github.com/Javacream/com.evonik.python/tree/work_python/data_manipulation_and_visualization/02-DataFrame_And_Introspection" xr:uid="{96A14E0E-B66F-44B3-8D7F-6023BCFF230C}"/>
    <hyperlink ref="A3" r:id="rId3" xr:uid="{E3DFBC2A-3794-46F4-AD5C-667DE9ACBA42}"/>
    <hyperlink ref="F35:F36" r:id="rId4" display="https://github.com/Javacream/com.evonik.python/tree/work_python/data_manipulation_and_visualization/03-data_introspection" xr:uid="{1A816E78-9F2A-48C5-9244-FAFA4DA028CE}"/>
    <hyperlink ref="F37:F43" r:id="rId5" display="https://github.com/Javacream/com.evonik.python/tree/work_python/data_manipulation_and_visualization/04-data_cleanup" xr:uid="{50E97B2E-148F-426F-AF2E-861E0607F236}"/>
    <hyperlink ref="F44" r:id="rId6" xr:uid="{D878C068-BFB5-4BEF-A9CE-CCEB7BA43F26}"/>
    <hyperlink ref="F45:F47" r:id="rId7" display="https://github.com/Javacream/com.evonik.python/tree/work_python/data_manipulation_and_visualization/06-more_advanced_techniques" xr:uid="{C6E9DB81-F86E-4F5D-9082-60D5431684CA}"/>
    <hyperlink ref="F48:F50" r:id="rId8" display="https://github.com/Javacream/com.evonik.python/tree/work_python/data_manipulation_and_visualization/07-working_with_frames" xr:uid="{A6934F87-8E31-46E6-B641-03C64C085A1F}"/>
    <hyperlink ref="F61" r:id="rId9" xr:uid="{98C1DF36-72B9-4E2A-AFF9-BCDA2BA36618}"/>
    <hyperlink ref="F51:F53" r:id="rId10" display="https://github.com/Javacream/com.evonik.python/tree/work_python/data_manipulation_and_visualization/08-workshop" xr:uid="{763E976B-CE6B-48C6-A65B-90D6CA6FADF4}"/>
    <hyperlink ref="F58:F60" r:id="rId11" display="https://github.com/Javacream/com.evonik.python/tree/work_python/data_manipulation_and_visualization/10-seaborn_diagrams" xr:uid="{A49FDBAF-7720-408F-ADC2-207FECDC7C59}"/>
    <hyperlink ref="F54:F57" r:id="rId12" display="https://github.com/Javacream/com.evonik.python/tree/work_python/data_manipulation_and_visualization/09-seaborn" xr:uid="{FB878847-69F7-4ACE-AD47-A25D25556AB6}"/>
  </hyperlinks>
  <pageMargins left="0.7" right="0.7" top="0.75" bottom="0.75" header="0.3" footer="0.3"/>
  <legacyDrawing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164042-2868-408b-a417-7dbe631b5b0f">
      <Terms xmlns="http://schemas.microsoft.com/office/infopath/2007/PartnerControls"/>
    </lcf76f155ced4ddcb4097134ff3c332f>
    <Kommentare xmlns="09164042-2868-408b-a417-7dbe631b5b0f" xsi:nil="true"/>
    <TaxCatchAll xmlns="60706e3a-628a-464b-9a52-4dd6c9226f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47A32C49F98043A013FEBFBABC0102" ma:contentTypeVersion="20" ma:contentTypeDescription="Create a new document." ma:contentTypeScope="" ma:versionID="1bc34b89979c12a8e913bce4062918c4">
  <xsd:schema xmlns:xsd="http://www.w3.org/2001/XMLSchema" xmlns:xs="http://www.w3.org/2001/XMLSchema" xmlns:p="http://schemas.microsoft.com/office/2006/metadata/properties" xmlns:ns2="09164042-2868-408b-a417-7dbe631b5b0f" xmlns:ns3="60706e3a-628a-464b-9a52-4dd6c9226f3f" targetNamespace="http://schemas.microsoft.com/office/2006/metadata/properties" ma:root="true" ma:fieldsID="168f9a7af18c8a638d29939a56d2e8e4" ns2:_="" ns3:_="">
    <xsd:import namespace="09164042-2868-408b-a417-7dbe631b5b0f"/>
    <xsd:import namespace="60706e3a-628a-464b-9a52-4dd6c9226f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Kommentare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64042-2868-408b-a417-7dbe631b5b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Kommentare" ma:index="20" nillable="true" ma:displayName="Kommentare" ma:format="Dropdown" ma:internalName="Kommentar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23ef092-bb7d-4dd6-a2c4-1d73ad4cb21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06e3a-628a-464b-9a52-4dd6c9226f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5c7006-dda6-413d-8855-ebcfe231356e}" ma:internalName="TaxCatchAll" ma:showField="CatchAllData" ma:web="60706e3a-628a-464b-9a52-4dd6c9226f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D10470-4DC2-48AD-849E-C7FBBB1C44CC}"/>
</file>

<file path=customXml/itemProps2.xml><?xml version="1.0" encoding="utf-8"?>
<ds:datastoreItem xmlns:ds="http://schemas.openxmlformats.org/officeDocument/2006/customXml" ds:itemID="{6129E3D8-E017-49AC-A287-78F42044C017}"/>
</file>

<file path=customXml/itemProps3.xml><?xml version="1.0" encoding="utf-8"?>
<ds:datastoreItem xmlns:ds="http://schemas.openxmlformats.org/officeDocument/2006/customXml" ds:itemID="{AF286720-335A-48CE-B5E6-2E89501D05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Rainer Sawitzki (Guest)</cp:lastModifiedBy>
  <cp:revision/>
  <dcterms:created xsi:type="dcterms:W3CDTF">2023-02-07T15:54:16Z</dcterms:created>
  <dcterms:modified xsi:type="dcterms:W3CDTF">2023-02-20T12:06:26Z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0x010100C547A32C49F98043A013FEBFBABC0102</vt:lpwstr>
  </property>
  <property fmtid="{D5CDD505-2E9C-101B-9397-08002B2CF9AE}" pid="3" name="MediaServiceImageTags">
    <vt:lpwstr/>
  </property>
</Properties>
</file>